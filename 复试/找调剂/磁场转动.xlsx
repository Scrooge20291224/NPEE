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crooge\Documents\GitHub\NPEE\复试\找调剂\"/>
    </mc:Choice>
  </mc:AlternateContent>
  <bookViews>
    <workbookView windowWidth="23040" windowHeight="9180"/>
  </bookViews>
  <sheets>
    <sheet name="进度" sheetId="1" r:id="rId1"/>
    <sheet name="书签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<sst xmlns="http://schemas.openxmlformats.org/spreadsheetml/2006/main" count="370" uniqueCount="208">
  <si>
    <t>日期</t>
  </si>
  <si>
    <t>日进度</t>
  </si>
  <si>
    <t>总进度</t>
  </si>
  <si>
    <t>日均进度</t>
  </si>
  <si>
    <t>目标日均</t>
  </si>
  <si>
    <t>剩余进度</t>
  </si>
  <si>
    <t>模板</t>
  </si>
  <si>
    <t>任务名称</t>
  </si>
  <si>
    <t>任务总量</t>
  </si>
  <si>
    <t>计划日进度</t>
  </si>
  <si>
    <t>计划日完成</t>
  </si>
  <si>
    <t>任务平均日进度</t>
  </si>
  <si>
    <t>今日进度</t>
  </si>
  <si>
    <t>今日完成量</t>
  </si>
  <si>
    <t>先前总量</t>
  </si>
  <si>
    <t>更新总量</t>
  </si>
  <si>
    <t>任务1</t>
  </si>
  <si>
    <t>任务2</t>
  </si>
  <si>
    <t>算法收尾</t>
  </si>
  <si>
    <t>智力游戏</t>
  </si>
  <si>
    <t>计算之魂</t>
  </si>
  <si>
    <t>面向对象</t>
  </si>
  <si>
    <t>软件可靠</t>
  </si>
  <si>
    <t>形式方法</t>
  </si>
  <si>
    <t>契约设计</t>
  </si>
  <si>
    <t>计算组成</t>
  </si>
  <si>
    <t>计算历史</t>
  </si>
  <si>
    <t>汇编学习</t>
  </si>
  <si>
    <t>逆向工程</t>
  </si>
  <si>
    <t>实时调度</t>
  </si>
  <si>
    <t>安卓移植</t>
  </si>
  <si>
    <t>操作系统</t>
  </si>
  <si>
    <t>安卓框架</t>
  </si>
  <si>
    <t>系统建模</t>
  </si>
  <si>
    <t>可靠系统</t>
  </si>
  <si>
    <t>系统理论</t>
  </si>
  <si>
    <t>网络安全</t>
  </si>
  <si>
    <t>网络通信</t>
  </si>
  <si>
    <t>导师研究</t>
  </si>
  <si>
    <t>复试针对</t>
  </si>
  <si>
    <t>农大辅导</t>
  </si>
  <si>
    <t>库的实现</t>
  </si>
  <si>
    <t>数据系统</t>
  </si>
  <si>
    <t>控制信号</t>
  </si>
  <si>
    <t>开学准备</t>
  </si>
  <si>
    <t>概统应用</t>
  </si>
  <si>
    <t>人工智能</t>
  </si>
  <si>
    <t>算法设计</t>
  </si>
  <si>
    <t>密码数学</t>
  </si>
  <si>
    <t>深度学习</t>
  </si>
  <si>
    <t>集成机器</t>
  </si>
  <si>
    <t>语言处理</t>
  </si>
  <si>
    <t>导师任务</t>
  </si>
  <si>
    <t>TAMA</t>
  </si>
  <si>
    <t>LADR</t>
  </si>
  <si>
    <t>开学之前</t>
  </si>
  <si>
    <t>脑机接口</t>
  </si>
  <si>
    <t>符号计算</t>
  </si>
  <si>
    <t>自制娃娃</t>
  </si>
  <si>
    <t>电路原理</t>
  </si>
  <si>
    <t>渗透攻防</t>
  </si>
  <si>
    <t>显卡编程</t>
  </si>
  <si>
    <t>工程优化</t>
  </si>
  <si>
    <t>线性代数</t>
  </si>
  <si>
    <t>机器人学</t>
  </si>
  <si>
    <t>漏网之鱼</t>
  </si>
  <si>
    <t>矩阵理论</t>
  </si>
  <si>
    <t>学术写作</t>
  </si>
  <si>
    <t>论文阅读</t>
  </si>
  <si>
    <t>正文页码</t>
  </si>
  <si>
    <t>文献引用</t>
  </si>
  <si>
    <t>还差</t>
  </si>
  <si>
    <t>总差</t>
  </si>
  <si>
    <t>偏置甄别</t>
  </si>
  <si>
    <t>Comparing Topic-Aware Neural Networks for Bias Detection of News</t>
  </si>
  <si>
    <t>层级分类</t>
  </si>
  <si>
    <t>Topic-Aware Hierarchical Multi-Attention Network for Text Classification</t>
  </si>
  <si>
    <t>嗅觉匹配</t>
  </si>
  <si>
    <t>Dual-grained Text-Image Olfactory Matching Model with Mutual Promotion Stages</t>
  </si>
  <si>
    <t>图文配准</t>
  </si>
  <si>
    <t>Integrated Multi-Stage Contextual Attention Network (IMCAN) for Text-Image Matching</t>
  </si>
  <si>
    <t>提示辨伪</t>
  </si>
  <si>
    <t>Similarity-Aware Multimodal Prompt Learning for Fake News Detection</t>
  </si>
  <si>
    <t>情感辨伪</t>
  </si>
  <si>
    <t>AMPLE: Emotion-Aware Multimodal Fusion Prompt Learning for Fake News Detection</t>
  </si>
  <si>
    <t>跨模增强</t>
  </si>
  <si>
    <t>Cross-Modal Augmentation for Few-Shot Multimodal Fake News Detection</t>
  </si>
  <si>
    <t>上下辨伪</t>
  </si>
  <si>
    <t>Large Visual-Language Models Are Also Good Classifiers (IMFND)</t>
  </si>
  <si>
    <t>学术强化</t>
  </si>
  <si>
    <t>计算语学</t>
  </si>
  <si>
    <t>计算社科</t>
  </si>
  <si>
    <t>可解释性</t>
  </si>
  <si>
    <t>因果实验</t>
  </si>
  <si>
    <t>页码</t>
  </si>
  <si>
    <t>简历</t>
  </si>
  <si>
    <t>导师</t>
  </si>
  <si>
    <t>LMS</t>
  </si>
  <si>
    <t>A review of visual perception technology for intelligent fruit harvesting robots</t>
  </si>
  <si>
    <t>CDCGAN</t>
  </si>
  <si>
    <t>AI-empowered Channel Estimation for Block-based Active IRS-enhanced Hybrid-field IoT Network</t>
  </si>
  <si>
    <t>LabVIEW</t>
  </si>
  <si>
    <t>GLN-LRF global learning network based on large receptive fields for hyperspectral image classification</t>
  </si>
  <si>
    <t>LCD Panel</t>
  </si>
  <si>
    <t>GPI-Net Gestalt-Guided Parallel Interaction Network via Orthogonal Geometric Consistency for Robust Point Cloud Registration</t>
  </si>
  <si>
    <t>OpenCog</t>
  </si>
  <si>
    <t>Multiple attribute group decision making based on nucleolus weight and continuous optimal distance measure</t>
  </si>
  <si>
    <t>OpenNARS</t>
  </si>
  <si>
    <t>Semantic Communication for Efficient Point Cloud Transmission</t>
  </si>
  <si>
    <t>YOLO</t>
  </si>
  <si>
    <t>Discrete comprehensive learning particle swarm optimization algorithm with Metropolis acceptance criterion for traveling salesman problem</t>
  </si>
  <si>
    <t>FaceNet</t>
  </si>
  <si>
    <t>Discrete pigeon-inspired optimization algorithm with Metropolis acceptance criterion for large-scale traveling salesman problem</t>
  </si>
  <si>
    <t>BCI</t>
  </si>
  <si>
    <t>List-based Simulated Annealing Algorithm with Hybrid Greedy Repair and Optimization Operator for 0-1 Knapsack Problem</t>
  </si>
  <si>
    <t>MedImg</t>
  </si>
  <si>
    <t>Noising methods with hybrid greedy repair operator for 0–1 knapsack problem</t>
  </si>
  <si>
    <t>BioInfo</t>
  </si>
  <si>
    <t>A Dual-Population Hybrid Evolutionary Algorithm for Solving the Colored Traveling Salesman Problem</t>
  </si>
  <si>
    <t>SigInt</t>
  </si>
  <si>
    <t>An Adaptive Multi-meme Memetic Algorithm for the Prize-Collecting Generalized Minimum Spanning Tree Problem</t>
  </si>
  <si>
    <t>IC Layout</t>
  </si>
  <si>
    <t>Enhanced List-Based Simulated Annealing Algorithm for Large-Scale Traveling Salesman Problem</t>
  </si>
  <si>
    <t>SoftTST</t>
  </si>
  <si>
    <t>Low-latency Virtual Network function Scheduling Algorithm Based on Deep Reinforcement Learning</t>
  </si>
  <si>
    <t>Godot2D</t>
  </si>
  <si>
    <t>OpenGL</t>
  </si>
  <si>
    <t>三论概述</t>
  </si>
  <si>
    <t>面试</t>
  </si>
  <si>
    <t>上机</t>
  </si>
  <si>
    <t>视频</t>
  </si>
  <si>
    <t>视频#</t>
  </si>
  <si>
    <t>3-8</t>
  </si>
  <si>
    <t>姜也</t>
  </si>
  <si>
    <t>刘勇</t>
  </si>
  <si>
    <t>周艳平</t>
  </si>
  <si>
    <t>陈双敏</t>
  </si>
  <si>
    <t>程远志</t>
  </si>
  <si>
    <t>段利亚</t>
  </si>
  <si>
    <t>宋廷强</t>
  </si>
  <si>
    <t>王鑫</t>
  </si>
  <si>
    <t>信号</t>
  </si>
  <si>
    <t>控制</t>
  </si>
  <si>
    <t>论文1</t>
  </si>
  <si>
    <t>AMPLE_Emotion-Aware_Multimodal_Fusion_Prompt_Learn</t>
  </si>
  <si>
    <t>DMFI-YOLO_dynamic_multi-scale_feature_interaction_</t>
  </si>
  <si>
    <t>融合字词增强语义多注意力的医疗自动问答</t>
  </si>
  <si>
    <t>A_Fast_Approach_to_Compute_Smooth_Geodesic_Distanc</t>
  </si>
  <si>
    <t>Axis-Guided_Vessel_Segmentation_Using_a_Self-Const</t>
  </si>
  <si>
    <t>多卷积模型结合注意力机制的水下图像增强方法及系统</t>
  </si>
  <si>
    <t>Development_and_external_validation_of_a_non-invas</t>
  </si>
  <si>
    <t>人工智能技术在现代普外科中的应用进展</t>
  </si>
  <si>
    <t>论文2</t>
  </si>
  <si>
    <t>Instruction_Tuning_Vs_In-Context_Learning_Revisiti</t>
  </si>
  <si>
    <t>DSE-FCOS_dilated_and_SE_block-reinforced_FCOS_for_</t>
  </si>
  <si>
    <t>基于强化学习的多策略HHO求解分布式混合流水车间调度</t>
  </si>
  <si>
    <t>DeFillet_paper552</t>
  </si>
  <si>
    <t>Foreground_Background_Difference_Knowledge-Based_S</t>
  </si>
  <si>
    <t>基于希尔伯特变换和改进卷积神经网络的通用水声信号解调方法</t>
  </si>
  <si>
    <t>Integrating_Contrastive_Learning_and_Cycle_Generat</t>
  </si>
  <si>
    <t>细粒度学习能力增强的可解释知识追踪</t>
  </si>
  <si>
    <t>网络</t>
  </si>
  <si>
    <t>通信</t>
  </si>
  <si>
    <t>论文3</t>
  </si>
  <si>
    <t>Learn_to_Select_Exploring_Label_Distribution_Diver</t>
  </si>
  <si>
    <t>ERS_Enhancing_representation_supervision_for_contr</t>
  </si>
  <si>
    <t>基于改进人工蜂群算法的混合约束流水车间调度</t>
  </si>
  <si>
    <t>ImS_implicit_shell_for_the_sandwich-walled_space_s</t>
  </si>
  <si>
    <t>Patient-specific_probabilistic_atlas_combining_mod</t>
  </si>
  <si>
    <t>基于旋转体曲面重构的绝缘子缺陷检测方法</t>
  </si>
  <si>
    <t>MAMIFusion_a_multimodal_data_fusion_framework_base</t>
  </si>
  <si>
    <t>一种多孔介质微孔结构提取方法及应用</t>
  </si>
  <si>
    <t>论文4</t>
  </si>
  <si>
    <t>QUST_NLP_at_SemEval-2025_Task_7_A_Three-Stage_Retr</t>
  </si>
  <si>
    <t>Optimizing_feature_map_matching_for_marine_benthic</t>
  </si>
  <si>
    <t>分时期教学优化算法求解双目标分布式异构混合流水车间调度问题</t>
  </si>
  <si>
    <t>RevolRecon_Neural_Representation_for_Reconstructin</t>
  </si>
  <si>
    <t>Vector_Field_Convolution-Based_B-Spline_Deformatio</t>
  </si>
  <si>
    <t>一种基于浅层神经网络的水下图像增强方法</t>
  </si>
  <si>
    <t>Spatial-Spectral_Contrastive_Graph_Neural_Network_</t>
  </si>
  <si>
    <t>一种基于机器学习的图像中心线结构提取方法</t>
  </si>
  <si>
    <t>论文5</t>
  </si>
  <si>
    <t>Team_QUST_at_SemEval-2025_Task_10_Evaluating_Large</t>
  </si>
  <si>
    <t>Semi-supervised_medical_image_segmentation_with_di</t>
  </si>
  <si>
    <t>Swept_Volume_Computation_with_Enhanced_Geometric_D</t>
  </si>
  <si>
    <t>WangProbAtlasIJCARS2015</t>
  </si>
  <si>
    <t>一种双引导的水下图像多尺度增强方法</t>
  </si>
  <si>
    <t>YOLOv11-Hunter_Detection_of_Threats_by_Unmanned_Ae</t>
  </si>
  <si>
    <t>一种基于深度学习的海底钻井电成像图像修复方法</t>
  </si>
  <si>
    <t>总计</t>
  </si>
  <si>
    <t>概率论</t>
  </si>
  <si>
    <t>数据分析</t>
  </si>
  <si>
    <t>高级密码</t>
  </si>
  <si>
    <t>抽象代数</t>
  </si>
  <si>
    <t>数论基础</t>
  </si>
  <si>
    <t>集成学习</t>
  </si>
  <si>
    <t>机器学习</t>
  </si>
  <si>
    <t>印度的书</t>
  </si>
  <si>
    <t>正则表达</t>
  </si>
  <si>
    <t>分段细读</t>
  </si>
  <si>
    <t>引用文章</t>
  </si>
  <si>
    <t>问题解决</t>
  </si>
  <si>
    <t>当前</t>
  </si>
  <si>
    <t>增量</t>
  </si>
  <si>
    <t>最大</t>
  </si>
  <si>
    <t>已有</t>
  </si>
  <si>
    <t>当前页数</t>
  </si>
  <si>
    <t>跳转页数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</si>
</sst>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i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13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14">
      <alignment vertical="center"/>
    </xf>
    <xf numFmtId="0" fontId="12" fillId="0" borderId="14">
      <alignment vertical="center"/>
    </xf>
    <xf numFmtId="0" fontId="13" fillId="0" borderId="15">
      <alignment vertical="center"/>
    </xf>
    <xf numFmtId="0" fontId="13" fillId="0" borderId="0">
      <alignment vertical="center"/>
    </xf>
    <xf numFmtId="0" fontId="14" fillId="4" borderId="16">
      <alignment vertical="center"/>
    </xf>
    <xf numFmtId="0" fontId="15" fillId="5" borderId="17">
      <alignment vertical="center"/>
    </xf>
    <xf numFmtId="0" fontId="16" fillId="5" borderId="16">
      <alignment vertical="center"/>
    </xf>
    <xf numFmtId="0" fontId="17" fillId="6" borderId="18">
      <alignment vertical="center"/>
    </xf>
    <xf numFmtId="0" fontId="18" fillId="0" borderId="19">
      <alignment vertical="center"/>
    </xf>
    <xf numFmtId="0" fontId="19" fillId="0" borderId="2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30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100"/>
  <sheetViews>
    <sheetView tabSelected="1" topLeftCell="E1" workbookViewId="0">
      <selection activeCell="BU87" sqref="BU87"/>
    </sheetView>
  </sheetViews>
  <sheetFormatPr defaultColWidth="15.7777777777778" defaultRowHeight="14.4"/>
  <cols>
    <col min="1" max="10" width="15.7777777777778" style="1" customWidth="1"/>
    <col min="11" max="66" width="15.7777777777778" style="1" hidden="1" customWidth="1"/>
    <col min="67" max="69" width="15.7777777777778" style="1" customWidth="1"/>
    <col min="70" max="71" width="15.7777777777778" style="1" hidden="1" customWidth="1"/>
    <col min="72" max="16384" width="15.7777777777778" style="1" customWidth="1"/>
  </cols>
  <sheetData>
    <row r="1" spans="1:77">
      <c r="A1" s="1" t="s">
        <v>0</v>
      </c>
      <c r="B1" s="22">
        <v>46081</v>
      </c>
      <c r="C1" s="22">
        <v>46082</v>
      </c>
      <c r="D1" s="22">
        <v>46083</v>
      </c>
      <c r="E1" s="22">
        <v>46084</v>
      </c>
      <c r="F1" s="22">
        <v>46085</v>
      </c>
      <c r="G1" s="22">
        <v>46086</v>
      </c>
      <c r="H1" s="22">
        <v>46087</v>
      </c>
      <c r="I1" s="22">
        <v>46088</v>
      </c>
      <c r="J1" s="22">
        <v>46089</v>
      </c>
      <c r="K1" s="22">
        <v>46090</v>
      </c>
      <c r="L1" s="22">
        <v>46091</v>
      </c>
      <c r="M1" s="22">
        <v>46092</v>
      </c>
      <c r="N1" s="22">
        <v>46093</v>
      </c>
      <c r="O1" s="22">
        <v>46094</v>
      </c>
      <c r="P1" s="22">
        <v>46095</v>
      </c>
      <c r="Q1" s="22">
        <v>46096</v>
      </c>
      <c r="R1" s="22">
        <v>46097</v>
      </c>
      <c r="S1" s="22">
        <v>46098</v>
      </c>
      <c r="T1" s="22">
        <v>46099</v>
      </c>
      <c r="U1" s="22">
        <v>46100</v>
      </c>
      <c r="V1" s="22">
        <v>46101</v>
      </c>
      <c r="W1" s="22">
        <v>46102</v>
      </c>
      <c r="X1" s="22">
        <v>46103</v>
      </c>
      <c r="Y1" s="22">
        <v>46104</v>
      </c>
      <c r="Z1" s="22">
        <v>46105</v>
      </c>
      <c r="AA1" s="22">
        <v>46106</v>
      </c>
      <c r="AB1" s="22">
        <v>46107</v>
      </c>
      <c r="AC1" s="22">
        <v>46108</v>
      </c>
      <c r="AD1" s="22">
        <v>46109</v>
      </c>
      <c r="AE1" s="22">
        <v>46110</v>
      </c>
      <c r="AF1" s="22">
        <v>46111</v>
      </c>
      <c r="AG1" s="22">
        <v>46112</v>
      </c>
      <c r="AH1" s="22">
        <v>46113</v>
      </c>
      <c r="AI1" s="22">
        <v>46114</v>
      </c>
      <c r="AJ1" s="22">
        <v>46115</v>
      </c>
      <c r="AK1" s="22">
        <v>46116</v>
      </c>
      <c r="AL1" s="22">
        <v>46117</v>
      </c>
      <c r="AM1" s="22">
        <v>46118</v>
      </c>
      <c r="AN1" s="22">
        <v>46119</v>
      </c>
      <c r="AO1" s="22">
        <v>46120</v>
      </c>
      <c r="AP1" s="22">
        <v>46121</v>
      </c>
      <c r="AQ1" s="22">
        <v>46122</v>
      </c>
      <c r="AR1" s="22">
        <v>46123</v>
      </c>
      <c r="AS1" s="22">
        <v>46124</v>
      </c>
      <c r="AT1" s="22">
        <v>46125</v>
      </c>
      <c r="AU1" s="22">
        <v>46126</v>
      </c>
      <c r="AV1" s="22">
        <v>46127</v>
      </c>
      <c r="AW1" s="22">
        <v>46128</v>
      </c>
      <c r="AX1" s="22">
        <v>46129</v>
      </c>
      <c r="AY1" s="22">
        <v>46130</v>
      </c>
      <c r="AZ1" s="22">
        <v>46131</v>
      </c>
      <c r="BA1" s="22">
        <v>46132</v>
      </c>
      <c r="BB1" s="22">
        <v>46133</v>
      </c>
      <c r="BC1" s="22">
        <v>46134</v>
      </c>
      <c r="BD1" s="22">
        <v>46135</v>
      </c>
      <c r="BE1" s="22">
        <v>46136</v>
      </c>
      <c r="BF1" s="22">
        <v>46137</v>
      </c>
      <c r="BG1" s="22">
        <v>46138</v>
      </c>
      <c r="BH1" s="22">
        <v>46139</v>
      </c>
      <c r="BI1" s="22">
        <v>46140</v>
      </c>
      <c r="BJ1" s="22">
        <v>46141</v>
      </c>
      <c r="BK1" s="22">
        <v>46142</v>
      </c>
      <c r="BL1" s="22">
        <v>46143</v>
      </c>
      <c r="BM1" s="22">
        <v>46144</v>
      </c>
      <c r="BN1" s="22">
        <v>46145</v>
      </c>
      <c r="BO1" s="22">
        <v>46146</v>
      </c>
      <c r="BP1" s="22">
        <v>46147</v>
      </c>
      <c r="BQ1" s="22">
        <v>46148</v>
      </c>
      <c r="BR1" s="22">
        <v>46149</v>
      </c>
      <c r="BS1" s="22">
        <v>46150</v>
      </c>
      <c r="BT1" s="22">
        <v>46151</v>
      </c>
      <c r="BU1" s="22">
        <v>46152</v>
      </c>
      <c r="BV1" s="22">
        <v>46153</v>
      </c>
      <c r="BW1" s="22">
        <v>46154</v>
      </c>
      <c r="BX1" s="22">
        <v>46155</v>
      </c>
      <c r="BY1" s="22">
        <v>46156</v>
      </c>
    </row>
    <row r="2" spans="1:77">
      <c r="A2" s="1" t="s">
        <v>1</v>
      </c>
      <c r="B2" s="23">
        <v>0.15436753577515</v>
      </c>
      <c r="C2" s="23">
        <v>0.15436753577515</v>
      </c>
      <c r="D2" s="23">
        <v>0.15436753577515</v>
      </c>
      <c r="E2" s="23">
        <v>0.15436753577515</v>
      </c>
      <c r="F2" s="23">
        <v>0.15436753577515</v>
      </c>
      <c r="G2" s="24">
        <v>0.15436753577515</v>
      </c>
      <c r="H2" s="23">
        <v>0.073794785349101</v>
      </c>
      <c r="I2" s="24">
        <v>0.155080443958291</v>
      </c>
      <c r="J2" s="24">
        <v>0.155080443958291</v>
      </c>
      <c r="K2" s="23">
        <v>0.155080443958291</v>
      </c>
      <c r="L2" s="23">
        <v>0.155080443958291</v>
      </c>
      <c r="M2" s="23">
        <v>0.155080443958291</v>
      </c>
      <c r="N2" s="23">
        <v>0.155080443958291</v>
      </c>
      <c r="O2" s="23">
        <v>0.0695173362502559</v>
      </c>
      <c r="P2" s="24">
        <v>0.15406162464986</v>
      </c>
      <c r="Q2" s="23">
        <v>0.15406162464986</v>
      </c>
      <c r="R2" s="23">
        <v>0.15406162464986</v>
      </c>
      <c r="S2" s="23">
        <v>0.15406162464986</v>
      </c>
      <c r="T2" s="23">
        <v>0.15406162464986</v>
      </c>
      <c r="U2" s="23">
        <v>0.15406162464986</v>
      </c>
      <c r="V2" s="23">
        <v>0.0756302521008403</v>
      </c>
      <c r="W2" s="23">
        <v>0.156031837360951</v>
      </c>
      <c r="X2" s="23">
        <v>0.156031837360951</v>
      </c>
      <c r="Y2" s="23">
        <v>0.156031837360951</v>
      </c>
      <c r="Z2" s="23">
        <v>0.156031837360951</v>
      </c>
      <c r="AA2" s="23">
        <v>0.156031837360951</v>
      </c>
      <c r="AB2" s="23">
        <v>0.156031837360951</v>
      </c>
      <c r="AC2" s="23">
        <v>0.0638089758342923</v>
      </c>
      <c r="AD2" s="23">
        <v>0.154434951354911</v>
      </c>
      <c r="AE2" s="23">
        <v>0.154434951354911</v>
      </c>
      <c r="AF2" s="23">
        <v>0.154434951354911</v>
      </c>
      <c r="AG2" s="23">
        <v>0.154434951354911</v>
      </c>
      <c r="AH2" s="23">
        <v>0.154434951354911</v>
      </c>
      <c r="AI2" s="23">
        <v>0.154434951354911</v>
      </c>
      <c r="AJ2" s="23">
        <v>0.0733902918705351</v>
      </c>
      <c r="AK2" s="23">
        <v>0.151612903225806</v>
      </c>
      <c r="AL2" s="23">
        <v>0.151612903225806</v>
      </c>
      <c r="AM2" s="23">
        <v>0.151612903225806</v>
      </c>
      <c r="AN2" s="23">
        <v>0.151612903225806</v>
      </c>
      <c r="AO2" s="23">
        <v>0.151612903225806</v>
      </c>
      <c r="AP2" s="23">
        <v>0.151612903225806</v>
      </c>
      <c r="AQ2" s="23">
        <v>0.0903225806451613</v>
      </c>
      <c r="AR2" s="23">
        <v>0.153917030700244</v>
      </c>
      <c r="AS2" s="23">
        <v>0.153917030700244</v>
      </c>
      <c r="AT2" s="23">
        <v>0.153917030700244</v>
      </c>
      <c r="AU2" s="23">
        <v>0.153917030700244</v>
      </c>
      <c r="AV2" s="23">
        <v>0.153917030700244</v>
      </c>
      <c r="AW2" s="23">
        <v>0.153917030700244</v>
      </c>
      <c r="AX2" s="23">
        <v>0.0764978157985367</v>
      </c>
      <c r="AY2" s="23">
        <v>0.156975118814649</v>
      </c>
      <c r="AZ2" s="23">
        <v>0.156975118814649</v>
      </c>
      <c r="BA2" s="23">
        <v>0.156975118814649</v>
      </c>
      <c r="BB2" s="23">
        <v>0.156975118814649</v>
      </c>
      <c r="BC2" s="23">
        <v>0.156975118814649</v>
      </c>
      <c r="BD2" s="23">
        <v>0.156975118814649</v>
      </c>
      <c r="BE2" s="23">
        <v>0.0581492871121051</v>
      </c>
      <c r="BF2" s="23">
        <v>0.157749427028603</v>
      </c>
      <c r="BG2" s="23">
        <v>0.157749427028603</v>
      </c>
      <c r="BH2" s="23">
        <v>0.157749427028603</v>
      </c>
      <c r="BI2" s="23">
        <v>0.157749427028603</v>
      </c>
      <c r="BJ2" s="23">
        <v>0.157749427028603</v>
      </c>
      <c r="BK2" s="23">
        <v>0.152918509154207</v>
      </c>
      <c r="BL2" s="23">
        <v>0.0444454668138879</v>
      </c>
      <c r="BM2" s="23">
        <v>0.0138888888888889</v>
      </c>
      <c r="BN2" s="23">
        <v>0.153949843260188</v>
      </c>
      <c r="BO2" s="23">
        <v>0.153949843260188</v>
      </c>
      <c r="BP2" s="23">
        <v>0.153949843260188</v>
      </c>
      <c r="BQ2" s="23">
        <v>0.153949843260188</v>
      </c>
      <c r="BR2" s="23">
        <v>0.153949843260188</v>
      </c>
      <c r="BS2" s="23">
        <v>0.153949843260188</v>
      </c>
      <c r="BT2" s="23">
        <v>0.0763009404388715</v>
      </c>
      <c r="BU2" s="23">
        <v>0.156191404293797</v>
      </c>
      <c r="BV2" s="23">
        <v>0.156191404293797</v>
      </c>
      <c r="BW2" s="23">
        <v>0.156191404293797</v>
      </c>
      <c r="BX2" s="23">
        <v>0.156191404293797</v>
      </c>
      <c r="BY2" s="23">
        <v>0</v>
      </c>
    </row>
    <row r="3" spans="1:77">
      <c r="A3" s="1" t="s">
        <v>2</v>
      </c>
      <c r="B3" s="23">
        <f>SUM($B2:B2)</f>
        <v>0.15436753577515</v>
      </c>
      <c r="C3" s="23">
        <f>SUM($B2:C2)</f>
        <v>0.3087350715503</v>
      </c>
      <c r="D3" s="23">
        <f>SUM($B2:D2)</f>
        <v>0.463102607325449</v>
      </c>
      <c r="E3" s="23">
        <f>SUM($B2:E2)</f>
        <v>0.617470143100599</v>
      </c>
      <c r="F3" s="23">
        <f>SUM($B2:F2)</f>
        <v>0.771837678875749</v>
      </c>
      <c r="G3" s="23">
        <f>SUM($B2:G2)</f>
        <v>0.926205214650899</v>
      </c>
      <c r="H3" s="23">
        <f>SUM($B2:H2)</f>
        <v>1</v>
      </c>
      <c r="I3" s="23">
        <f>SUM($B2:I2)</f>
        <v>1.15508044395829</v>
      </c>
      <c r="J3" s="23">
        <f>SUM($B2:J2)</f>
        <v>1.31016088791658</v>
      </c>
      <c r="K3" s="23">
        <f>SUM($B2:K2)</f>
        <v>1.46524133187487</v>
      </c>
      <c r="L3" s="23">
        <f>SUM($B2:L2)</f>
        <v>1.62032177583316</v>
      </c>
      <c r="M3" s="23">
        <f>SUM($B2:M2)</f>
        <v>1.77540221979145</v>
      </c>
      <c r="N3" s="23">
        <f>SUM($B2:N2)</f>
        <v>1.93048266374974</v>
      </c>
      <c r="O3" s="23">
        <f>SUM($B2:O2)</f>
        <v>2</v>
      </c>
      <c r="P3" s="23">
        <f>SUM($B2:P2)</f>
        <v>2.15406162464986</v>
      </c>
      <c r="Q3" s="23">
        <f>SUM($B2:Q2)</f>
        <v>2.30812324929972</v>
      </c>
      <c r="R3" s="23">
        <f>SUM($B2:R2)</f>
        <v>2.46218487394958</v>
      </c>
      <c r="S3" s="23">
        <f>SUM($B2:S2)</f>
        <v>2.61624649859944</v>
      </c>
      <c r="T3" s="23">
        <f>SUM($B2:T2)</f>
        <v>2.7703081232493</v>
      </c>
      <c r="U3" s="23">
        <f>SUM($B2:U2)</f>
        <v>2.92436974789916</v>
      </c>
      <c r="V3" s="23">
        <f>SUM($B2:V2)</f>
        <v>3</v>
      </c>
      <c r="W3" s="23">
        <f>SUM($B2:Y2)</f>
        <v>3.46809551208285</v>
      </c>
      <c r="X3" s="23">
        <f>SUM($B2:Y2)</f>
        <v>3.46809551208285</v>
      </c>
      <c r="Y3" s="23">
        <f>SUM($B2:Y2)</f>
        <v>3.46809551208285</v>
      </c>
      <c r="Z3" s="23">
        <f>SUM($B2:Z2)</f>
        <v>3.6241273494438</v>
      </c>
      <c r="AA3" s="23">
        <f>SUM($B2:AA2)</f>
        <v>3.78015918680476</v>
      </c>
      <c r="AB3" s="23">
        <f>SUM($B2:AB2)</f>
        <v>3.93619102416571</v>
      </c>
      <c r="AC3" s="23">
        <f>SUM($B2:AC2)</f>
        <v>4</v>
      </c>
      <c r="AD3" s="23">
        <f>SUM($B2:AD2)</f>
        <v>4.15443495135491</v>
      </c>
      <c r="AE3" s="23">
        <f>SUM($B2:AE2)</f>
        <v>4.30886990270982</v>
      </c>
      <c r="AF3" s="23">
        <f>SUM($B2:AF2)</f>
        <v>4.46330485406473</v>
      </c>
      <c r="AG3" s="23">
        <f>SUM($B2:AG2)</f>
        <v>4.61773980541964</v>
      </c>
      <c r="AH3" s="23">
        <f>SUM($B2:AH2)</f>
        <v>4.77217475677455</v>
      </c>
      <c r="AI3" s="23">
        <f>SUM($B2:AI2)</f>
        <v>4.92660970812946</v>
      </c>
      <c r="AJ3" s="23">
        <f>SUM($B2:AJ2)</f>
        <v>5</v>
      </c>
      <c r="AK3" s="23">
        <f>SUM($B2:AK2)</f>
        <v>5.1516129032258</v>
      </c>
      <c r="AL3" s="23">
        <f>SUM($B2:AL2)</f>
        <v>5.30322580645161</v>
      </c>
      <c r="AM3" s="23">
        <f>SUM($B2:AM2)</f>
        <v>5.45483870967742</v>
      </c>
      <c r="AN3" s="23">
        <f>SUM($B2:AN2)</f>
        <v>5.60645161290322</v>
      </c>
      <c r="AO3" s="23">
        <f>SUM($B2:AO2)</f>
        <v>5.75806451612903</v>
      </c>
      <c r="AP3" s="23">
        <f>SUM($B2:AP2)</f>
        <v>5.90967741935483</v>
      </c>
      <c r="AQ3" s="23">
        <f>SUM($B2:AQ2)</f>
        <v>6</v>
      </c>
      <c r="AR3" s="23">
        <f>SUM($B2:AR2)</f>
        <v>6.15391703070024</v>
      </c>
      <c r="AS3" s="23">
        <f>SUM($B2:AS2)</f>
        <v>6.30783406140048</v>
      </c>
      <c r="AT3" s="23">
        <f>SUM($B2:AT2)</f>
        <v>6.46175109210073</v>
      </c>
      <c r="AU3" s="23">
        <f>SUM($B2:AU2)</f>
        <v>6.61566812280097</v>
      </c>
      <c r="AV3" s="23">
        <f>SUM($B2:AV2)</f>
        <v>6.76958515350122</v>
      </c>
      <c r="AW3" s="23">
        <f>SUM($B2:AW2)</f>
        <v>6.92350218420146</v>
      </c>
      <c r="AX3" s="23">
        <f>SUM($B2:AX2)</f>
        <v>7</v>
      </c>
      <c r="AY3" s="23">
        <f>SUM($B2:AY2)</f>
        <v>7.15697511881465</v>
      </c>
      <c r="AZ3" s="23">
        <f>SUM($B2:AZ2)</f>
        <v>7.3139502376293</v>
      </c>
      <c r="BA3" s="23">
        <f>SUM($B2:BA2)</f>
        <v>7.47092535644394</v>
      </c>
      <c r="BB3" s="23">
        <f>SUM($B2:BB2)</f>
        <v>7.62790047525859</v>
      </c>
      <c r="BC3" s="23">
        <f>SUM($B2:BC2)</f>
        <v>7.78487559407324</v>
      </c>
      <c r="BD3" s="23">
        <f>SUM($B2:BD2)</f>
        <v>7.94185071288789</v>
      </c>
      <c r="BE3" s="23">
        <f>SUM($B2:BE2)</f>
        <v>8</v>
      </c>
      <c r="BF3" s="23">
        <f>SUM($B2:BF2)</f>
        <v>8.1577494270286</v>
      </c>
      <c r="BG3" s="23">
        <f>SUM($B2:BG2)</f>
        <v>8.3154988540572</v>
      </c>
      <c r="BH3" s="23">
        <f>SUM($B2:BH2)</f>
        <v>8.47324828108581</v>
      </c>
      <c r="BI3" s="23">
        <f>SUM($B2:BI2)</f>
        <v>8.63099770811441</v>
      </c>
      <c r="BJ3" s="23">
        <f>SUM($B2:BJ2)</f>
        <v>8.78874713514301</v>
      </c>
      <c r="BK3" s="23">
        <f>SUM($B2:BK2)</f>
        <v>8.94166564429722</v>
      </c>
      <c r="BL3" s="23">
        <f>SUM($B2:BL2)</f>
        <v>8.98611111111111</v>
      </c>
      <c r="BM3" s="23">
        <f>SUM($B2:BM2)</f>
        <v>9</v>
      </c>
      <c r="BN3" s="23">
        <f>SUM($B2:BN2)</f>
        <v>9.15394984326018</v>
      </c>
      <c r="BO3" s="23">
        <f>SUM($B2:BO2)</f>
        <v>9.30789968652037</v>
      </c>
      <c r="BP3" s="23">
        <f>SUM($B2:BP2)</f>
        <v>9.46184952978056</v>
      </c>
      <c r="BQ3" s="23">
        <f>SUM($B2:BQ2)</f>
        <v>9.61579937304075</v>
      </c>
      <c r="BR3" s="23">
        <f>SUM($B2:BR2)</f>
        <v>9.76974921630094</v>
      </c>
      <c r="BS3" s="23">
        <f>SUM($B2:BS2)</f>
        <v>9.92369905956112</v>
      </c>
      <c r="BT3" s="23">
        <f>SUM($B2:BT2)</f>
        <v>9.99999999999999</v>
      </c>
      <c r="BU3" s="23">
        <f>SUM($B2:BU2)</f>
        <v>10.1561914042938</v>
      </c>
      <c r="BV3" s="23">
        <f>SUM($B2:BV2)</f>
        <v>10.3123828085876</v>
      </c>
      <c r="BW3" s="23">
        <f>SUM($B2:BW2)</f>
        <v>10.4685742128814</v>
      </c>
      <c r="BX3" s="23">
        <f>SUM($B2:BX2)</f>
        <v>10.6247656171752</v>
      </c>
      <c r="BY3" s="23">
        <f>SUM($B2:BY2)</f>
        <v>10.6247656171752</v>
      </c>
    </row>
    <row r="4" spans="1:77">
      <c r="A4" s="1" t="s">
        <v>3</v>
      </c>
      <c r="B4" s="23">
        <f>AVERAGE($B2:B2)</f>
        <v>0.15436753577515</v>
      </c>
      <c r="C4" s="23">
        <f>AVERAGE($B2:C2)</f>
        <v>0.15436753577515</v>
      </c>
      <c r="D4" s="23">
        <f>AVERAGE($B2:D2)</f>
        <v>0.15436753577515</v>
      </c>
      <c r="E4" s="23">
        <f>AVERAGE($B2:E2)</f>
        <v>0.15436753577515</v>
      </c>
      <c r="F4" s="23">
        <f>AVERAGE($B2:F2)</f>
        <v>0.15436753577515</v>
      </c>
      <c r="G4" s="23">
        <f>AVERAGE($B2:G2)</f>
        <v>0.15436753577515</v>
      </c>
      <c r="H4" s="23">
        <f>AVERAGE($B2:H2)</f>
        <v>0.142857142857143</v>
      </c>
      <c r="I4" s="23">
        <f>AVERAGE($B2:I2)</f>
        <v>0.144385055494786</v>
      </c>
      <c r="J4" s="23">
        <f>AVERAGE($B2:J2)</f>
        <v>0.145573431990731</v>
      </c>
      <c r="K4" s="23">
        <f>AVERAGE($B2:K2)</f>
        <v>0.146524133187487</v>
      </c>
      <c r="L4" s="23">
        <f>AVERAGE($B2:L2)</f>
        <v>0.147301979621197</v>
      </c>
      <c r="M4" s="23">
        <f>AVERAGE($B2:M2)</f>
        <v>0.147950184982621</v>
      </c>
      <c r="N4" s="23">
        <f>AVERAGE($B2:N2)</f>
        <v>0.148498666442288</v>
      </c>
      <c r="O4" s="23">
        <f>AVERAGE($B2:O2)</f>
        <v>0.142857142857143</v>
      </c>
      <c r="P4" s="23">
        <f>AVERAGE($B2:P2)</f>
        <v>0.143604108309991</v>
      </c>
      <c r="Q4" s="23">
        <f>AVERAGE($B2:Q2)</f>
        <v>0.144257703081233</v>
      </c>
      <c r="R4" s="23">
        <f>AVERAGE($B2:R2)</f>
        <v>0.144834404349975</v>
      </c>
      <c r="S4" s="23">
        <f>AVERAGE($B2:S2)</f>
        <v>0.145347027699969</v>
      </c>
      <c r="T4" s="23">
        <f>AVERAGE($B2:T2)</f>
        <v>0.145805690697332</v>
      </c>
      <c r="U4" s="23">
        <f>AVERAGE($B2:U2)</f>
        <v>0.146218487394958</v>
      </c>
      <c r="V4" s="23">
        <f>AVERAGE($B2:V2)</f>
        <v>0.142857142857143</v>
      </c>
      <c r="W4" s="23">
        <f>AVERAGE($B2:Y2)</f>
        <v>0.144503979670119</v>
      </c>
      <c r="X4" s="23">
        <f>AVERAGE($B2:Y2)</f>
        <v>0.144503979670119</v>
      </c>
      <c r="Y4" s="23">
        <f>AVERAGE($B2:Y2)</f>
        <v>0.144503979670119</v>
      </c>
      <c r="Z4" s="23">
        <f>AVERAGE($B2:Z2)</f>
        <v>0.144965093977752</v>
      </c>
      <c r="AA4" s="23">
        <f>AVERAGE($B2:AA2)</f>
        <v>0.145390737954029</v>
      </c>
      <c r="AB4" s="23">
        <f>AVERAGE($B2:AB2)</f>
        <v>0.145784852746878</v>
      </c>
      <c r="AC4" s="23">
        <f>AVERAGE($B2:AC2)</f>
        <v>0.142857142857143</v>
      </c>
      <c r="AD4" s="23">
        <f>AVERAGE($B2:AD2)</f>
        <v>0.143256377632928</v>
      </c>
      <c r="AE4" s="23">
        <f>AVERAGE($B2:AE2)</f>
        <v>0.143628996756994</v>
      </c>
      <c r="AF4" s="23">
        <f>AVERAGE($B2:AF2)</f>
        <v>0.143977575937572</v>
      </c>
      <c r="AG4" s="23">
        <f>AVERAGE($B2:AG2)</f>
        <v>0.144304368919364</v>
      </c>
      <c r="AH4" s="23">
        <f>AVERAGE($B2:AH2)</f>
        <v>0.144611356265896</v>
      </c>
      <c r="AI4" s="23">
        <f>AVERAGE($B2:AI2)</f>
        <v>0.144900285533219</v>
      </c>
      <c r="AJ4" s="23">
        <f>AVERAGE($B2:AJ2)</f>
        <v>0.142857142857143</v>
      </c>
      <c r="AK4" s="23">
        <f>AVERAGE($B2:AK2)</f>
        <v>0.143100358422939</v>
      </c>
      <c r="AL4" s="23">
        <f>AVERAGE($B2:AL2)</f>
        <v>0.143330427201395</v>
      </c>
      <c r="AM4" s="23">
        <f>AVERAGE($B2:AM2)</f>
        <v>0.143548387096774</v>
      </c>
      <c r="AN4" s="23">
        <f>AVERAGE($B2:AN2)</f>
        <v>0.143755169561621</v>
      </c>
      <c r="AO4" s="23">
        <f>AVERAGE($B2:AO2)</f>
        <v>0.143951612903226</v>
      </c>
      <c r="AP4" s="23">
        <f>AVERAGE($B2:AP2)</f>
        <v>0.144138473642801</v>
      </c>
      <c r="AQ4" s="23">
        <f>AVERAGE($B2:AQ2)</f>
        <v>0.142857142857143</v>
      </c>
      <c r="AR4" s="23">
        <f>AVERAGE($B2:AR2)</f>
        <v>0.143114349551168</v>
      </c>
      <c r="AS4" s="23">
        <f>AVERAGE($B2:AS2)</f>
        <v>0.143359865031829</v>
      </c>
      <c r="AT4" s="23">
        <f>AVERAGE($B2:AT2)</f>
        <v>0.14359446871335</v>
      </c>
      <c r="AU4" s="23">
        <f>AVERAGE($B2:AU2)</f>
        <v>0.143818872234804</v>
      </c>
      <c r="AV4" s="23">
        <f>AVERAGE($B2:AV2)</f>
        <v>0.144033726670239</v>
      </c>
      <c r="AW4" s="23">
        <f>AVERAGE($B2:AW2)</f>
        <v>0.14423962883753</v>
      </c>
      <c r="AX4" s="23">
        <f>AVERAGE($B2:AX2)</f>
        <v>0.142857142857143</v>
      </c>
      <c r="AY4" s="23">
        <f>AVERAGE($B2:AY2)</f>
        <v>0.143139502376293</v>
      </c>
      <c r="AZ4" s="23">
        <f>AVERAGE($B2:AZ2)</f>
        <v>0.143410788973123</v>
      </c>
      <c r="BA4" s="23">
        <f>AVERAGE($B2:BA2)</f>
        <v>0.143671641470076</v>
      </c>
      <c r="BB4" s="23">
        <f>AVERAGE($B2:BB2)</f>
        <v>0.143922650476577</v>
      </c>
      <c r="BC4" s="23">
        <f>AVERAGE($B2:BC2)</f>
        <v>0.144164362853208</v>
      </c>
      <c r="BD4" s="23">
        <f>AVERAGE($B2:BD2)</f>
        <v>0.144397285688871</v>
      </c>
      <c r="BE4" s="23">
        <f>AVERAGE($B2:BE2)</f>
        <v>0.142857142857143</v>
      </c>
      <c r="BF4" s="23">
        <f>AVERAGE($B2:BF2)</f>
        <v>0.143118411000502</v>
      </c>
      <c r="BG4" s="23">
        <f>AVERAGE($B2:BG2)</f>
        <v>0.143370669897538</v>
      </c>
      <c r="BH4" s="23">
        <f>AVERAGE($B2:BH2)</f>
        <v>0.143614377645522</v>
      </c>
      <c r="BI4" s="23">
        <f>AVERAGE($B2:BI2)</f>
        <v>0.143849961801907</v>
      </c>
      <c r="BJ4" s="23">
        <f>AVERAGE($B2:BJ2)</f>
        <v>0.14407782188759</v>
      </c>
      <c r="BK4" s="23">
        <f>AVERAGE($B2:BK2)</f>
        <v>0.144220413617697</v>
      </c>
      <c r="BL4" s="23">
        <f>AVERAGE($B2:BL2)</f>
        <v>0.142636684303351</v>
      </c>
      <c r="BM4" s="23">
        <f>AVERAGE($B2:BM2)</f>
        <v>0.140625</v>
      </c>
      <c r="BN4" s="23">
        <f>AVERAGE($B2:BN2)</f>
        <v>0.140829997588618</v>
      </c>
      <c r="BO4" s="23">
        <f>AVERAGE($B2:BO2)</f>
        <v>0.141028783129097</v>
      </c>
      <c r="BP4" s="23">
        <f>AVERAGE($B2:BP2)</f>
        <v>0.141221634772844</v>
      </c>
      <c r="BQ4" s="23">
        <f>AVERAGE($B2:BQ2)</f>
        <v>0.141408814309423</v>
      </c>
      <c r="BR4" s="23">
        <f>AVERAGE($B2:BR2)</f>
        <v>0.141590568352187</v>
      </c>
      <c r="BS4" s="23">
        <f>AVERAGE($B2:BS2)</f>
        <v>0.141767129422302</v>
      </c>
      <c r="BT4" s="23">
        <f>AVERAGE($B2:BT2)</f>
        <v>0.140845070422535</v>
      </c>
      <c r="BU4" s="23">
        <f>AVERAGE($B2:BU2)</f>
        <v>0.141058213948525</v>
      </c>
      <c r="BV4" s="23">
        <f>AVERAGE($B2:BV2)</f>
        <v>0.141265517925857</v>
      </c>
      <c r="BW4" s="23">
        <f>AVERAGE($B2:BW2)</f>
        <v>0.141467219092992</v>
      </c>
      <c r="BX4" s="23">
        <f>AVERAGE($B2:BX2)</f>
        <v>0.141663541562336</v>
      </c>
      <c r="BY4" s="23">
        <f>AVERAGE($B2:BY2)</f>
        <v>0.13979954759441</v>
      </c>
    </row>
    <row r="5" spans="1:77">
      <c r="A5" s="1" t="s">
        <v>4</v>
      </c>
      <c r="B5" s="23">
        <f>4/26</f>
        <v>0.153846153846154</v>
      </c>
      <c r="C5" s="23">
        <f t="shared" ref="C5:BN5" si="0">B5</f>
        <v>0.153846153846154</v>
      </c>
      <c r="D5" s="23">
        <f t="shared" si="0"/>
        <v>0.153846153846154</v>
      </c>
      <c r="E5" s="23">
        <f t="shared" si="0"/>
        <v>0.153846153846154</v>
      </c>
      <c r="F5" s="23">
        <f t="shared" si="0"/>
        <v>0.153846153846154</v>
      </c>
      <c r="G5" s="23">
        <f t="shared" si="0"/>
        <v>0.153846153846154</v>
      </c>
      <c r="H5" s="23">
        <f t="shared" si="0"/>
        <v>0.153846153846154</v>
      </c>
      <c r="I5" s="23">
        <f t="shared" si="0"/>
        <v>0.153846153846154</v>
      </c>
      <c r="J5" s="23">
        <f t="shared" si="0"/>
        <v>0.153846153846154</v>
      </c>
      <c r="K5" s="23">
        <f t="shared" si="0"/>
        <v>0.153846153846154</v>
      </c>
      <c r="L5" s="23">
        <f t="shared" si="0"/>
        <v>0.153846153846154</v>
      </c>
      <c r="M5" s="23">
        <f t="shared" si="0"/>
        <v>0.153846153846154</v>
      </c>
      <c r="N5" s="23">
        <f t="shared" si="0"/>
        <v>0.153846153846154</v>
      </c>
      <c r="O5" s="23">
        <f t="shared" si="0"/>
        <v>0.153846153846154</v>
      </c>
      <c r="P5" s="23">
        <f t="shared" si="0"/>
        <v>0.153846153846154</v>
      </c>
      <c r="Q5" s="23">
        <f t="shared" si="0"/>
        <v>0.153846153846154</v>
      </c>
      <c r="R5" s="23">
        <f t="shared" si="0"/>
        <v>0.153846153846154</v>
      </c>
      <c r="S5" s="23">
        <f t="shared" si="0"/>
        <v>0.153846153846154</v>
      </c>
      <c r="T5" s="23">
        <f t="shared" si="0"/>
        <v>0.153846153846154</v>
      </c>
      <c r="U5" s="23">
        <f t="shared" si="0"/>
        <v>0.153846153846154</v>
      </c>
      <c r="V5" s="23">
        <f t="shared" si="0"/>
        <v>0.153846153846154</v>
      </c>
      <c r="W5" s="23">
        <f t="shared" si="0"/>
        <v>0.153846153846154</v>
      </c>
      <c r="X5" s="23">
        <f t="shared" si="0"/>
        <v>0.153846153846154</v>
      </c>
      <c r="Y5" s="23">
        <f t="shared" si="0"/>
        <v>0.153846153846154</v>
      </c>
      <c r="Z5" s="23">
        <f t="shared" si="0"/>
        <v>0.153846153846154</v>
      </c>
      <c r="AA5" s="23">
        <f t="shared" si="0"/>
        <v>0.153846153846154</v>
      </c>
      <c r="AB5" s="23">
        <f t="shared" si="0"/>
        <v>0.153846153846154</v>
      </c>
      <c r="AC5" s="23">
        <f t="shared" si="0"/>
        <v>0.153846153846154</v>
      </c>
      <c r="AD5" s="23">
        <f t="shared" si="0"/>
        <v>0.153846153846154</v>
      </c>
      <c r="AE5" s="23">
        <f t="shared" si="0"/>
        <v>0.153846153846154</v>
      </c>
      <c r="AF5" s="23">
        <f t="shared" si="0"/>
        <v>0.153846153846154</v>
      </c>
      <c r="AG5" s="23">
        <f t="shared" si="0"/>
        <v>0.153846153846154</v>
      </c>
      <c r="AH5" s="23">
        <f t="shared" si="0"/>
        <v>0.153846153846154</v>
      </c>
      <c r="AI5" s="23">
        <f t="shared" si="0"/>
        <v>0.153846153846154</v>
      </c>
      <c r="AJ5" s="23">
        <f t="shared" si="0"/>
        <v>0.153846153846154</v>
      </c>
      <c r="AK5" s="23">
        <f t="shared" si="0"/>
        <v>0.153846153846154</v>
      </c>
      <c r="AL5" s="23">
        <f t="shared" si="0"/>
        <v>0.153846153846154</v>
      </c>
      <c r="AM5" s="23">
        <f t="shared" si="0"/>
        <v>0.153846153846154</v>
      </c>
      <c r="AN5" s="23">
        <f t="shared" si="0"/>
        <v>0.153846153846154</v>
      </c>
      <c r="AO5" s="23">
        <f t="shared" si="0"/>
        <v>0.153846153846154</v>
      </c>
      <c r="AP5" s="23">
        <f t="shared" si="0"/>
        <v>0.153846153846154</v>
      </c>
      <c r="AQ5" s="23">
        <f t="shared" si="0"/>
        <v>0.153846153846154</v>
      </c>
      <c r="AR5" s="23">
        <f t="shared" si="0"/>
        <v>0.153846153846154</v>
      </c>
      <c r="AS5" s="23">
        <f t="shared" si="0"/>
        <v>0.153846153846154</v>
      </c>
      <c r="AT5" s="23">
        <f t="shared" si="0"/>
        <v>0.153846153846154</v>
      </c>
      <c r="AU5" s="23">
        <f t="shared" si="0"/>
        <v>0.153846153846154</v>
      </c>
      <c r="AV5" s="23">
        <f t="shared" si="0"/>
        <v>0.153846153846154</v>
      </c>
      <c r="AW5" s="23">
        <f t="shared" si="0"/>
        <v>0.153846153846154</v>
      </c>
      <c r="AX5" s="23">
        <f t="shared" si="0"/>
        <v>0.153846153846154</v>
      </c>
      <c r="AY5" s="23">
        <f t="shared" si="0"/>
        <v>0.153846153846154</v>
      </c>
      <c r="AZ5" s="23">
        <f t="shared" si="0"/>
        <v>0.153846153846154</v>
      </c>
      <c r="BA5" s="23">
        <f t="shared" si="0"/>
        <v>0.153846153846154</v>
      </c>
      <c r="BB5" s="23">
        <f t="shared" si="0"/>
        <v>0.153846153846154</v>
      </c>
      <c r="BC5" s="23">
        <f t="shared" si="0"/>
        <v>0.153846153846154</v>
      </c>
      <c r="BD5" s="23">
        <f t="shared" si="0"/>
        <v>0.153846153846154</v>
      </c>
      <c r="BE5" s="23">
        <f t="shared" si="0"/>
        <v>0.153846153846154</v>
      </c>
      <c r="BF5" s="23">
        <f t="shared" si="0"/>
        <v>0.153846153846154</v>
      </c>
      <c r="BG5" s="23">
        <f t="shared" si="0"/>
        <v>0.153846153846154</v>
      </c>
      <c r="BH5" s="23">
        <f t="shared" si="0"/>
        <v>0.153846153846154</v>
      </c>
      <c r="BI5" s="23">
        <f t="shared" si="0"/>
        <v>0.153846153846154</v>
      </c>
      <c r="BJ5" s="23">
        <f t="shared" si="0"/>
        <v>0.153846153846154</v>
      </c>
      <c r="BK5" s="23">
        <f t="shared" si="0"/>
        <v>0.153846153846154</v>
      </c>
      <c r="BL5" s="23">
        <f t="shared" si="0"/>
        <v>0.153846153846154</v>
      </c>
      <c r="BM5" s="23">
        <f t="shared" si="0"/>
        <v>0.153846153846154</v>
      </c>
      <c r="BN5" s="23">
        <f t="shared" si="0"/>
        <v>0.153846153846154</v>
      </c>
      <c r="BO5" s="23">
        <f t="shared" ref="BO5:BY5" si="1">BN5</f>
        <v>0.153846153846154</v>
      </c>
      <c r="BP5" s="23">
        <f t="shared" si="1"/>
        <v>0.153846153846154</v>
      </c>
      <c r="BQ5" s="23">
        <f t="shared" si="1"/>
        <v>0.153846153846154</v>
      </c>
      <c r="BR5" s="23">
        <f t="shared" si="1"/>
        <v>0.153846153846154</v>
      </c>
      <c r="BS5" s="23">
        <f t="shared" si="1"/>
        <v>0.153846153846154</v>
      </c>
      <c r="BT5" s="23">
        <f t="shared" si="1"/>
        <v>0.153846153846154</v>
      </c>
      <c r="BU5" s="23">
        <f t="shared" si="1"/>
        <v>0.153846153846154</v>
      </c>
      <c r="BV5" s="23">
        <f t="shared" si="1"/>
        <v>0.153846153846154</v>
      </c>
      <c r="BW5" s="23">
        <f t="shared" si="1"/>
        <v>0.153846153846154</v>
      </c>
      <c r="BX5" s="23">
        <f t="shared" si="1"/>
        <v>0.153846153846154</v>
      </c>
      <c r="BY5" s="23">
        <f t="shared" si="1"/>
        <v>0.153846153846154</v>
      </c>
    </row>
    <row r="6" spans="1:77">
      <c r="A6" s="1" t="s">
        <v>5</v>
      </c>
      <c r="B6" s="23">
        <f t="shared" ref="B6:BM6" si="2">B5-B2</f>
        <v>-0.000521381928996006</v>
      </c>
      <c r="C6" s="23">
        <f t="shared" si="2"/>
        <v>-0.000521381928996006</v>
      </c>
      <c r="D6" s="23">
        <f t="shared" si="2"/>
        <v>-0.000521381928996006</v>
      </c>
      <c r="E6" s="23">
        <f t="shared" si="2"/>
        <v>-0.000521381928996006</v>
      </c>
      <c r="F6" s="23">
        <f t="shared" si="2"/>
        <v>-0.000521381928996006</v>
      </c>
      <c r="G6" s="23">
        <f t="shared" si="2"/>
        <v>-0.000521381928996006</v>
      </c>
      <c r="H6" s="23">
        <f t="shared" si="2"/>
        <v>0.080051368497053</v>
      </c>
      <c r="I6" s="23">
        <f t="shared" si="2"/>
        <v>-0.00123429011213699</v>
      </c>
      <c r="J6" s="23">
        <f t="shared" si="2"/>
        <v>-0.00123429011213699</v>
      </c>
      <c r="K6" s="23">
        <f t="shared" si="2"/>
        <v>-0.00123429011213699</v>
      </c>
      <c r="L6" s="23">
        <f t="shared" si="2"/>
        <v>-0.00123429011213699</v>
      </c>
      <c r="M6" s="23">
        <f t="shared" si="2"/>
        <v>-0.00123429011213699</v>
      </c>
      <c r="N6" s="23">
        <f t="shared" si="2"/>
        <v>-0.00123429011213699</v>
      </c>
      <c r="O6" s="23">
        <f t="shared" si="2"/>
        <v>0.0843288175958981</v>
      </c>
      <c r="P6" s="23">
        <f t="shared" si="2"/>
        <v>-0.000215470803706014</v>
      </c>
      <c r="Q6" s="23">
        <f t="shared" si="2"/>
        <v>-0.000215470803706014</v>
      </c>
      <c r="R6" s="23">
        <f t="shared" si="2"/>
        <v>-0.000215470803706014</v>
      </c>
      <c r="S6" s="23">
        <f t="shared" si="2"/>
        <v>-0.000215470803706014</v>
      </c>
      <c r="T6" s="23">
        <f t="shared" si="2"/>
        <v>-0.000215470803706014</v>
      </c>
      <c r="U6" s="23">
        <f t="shared" si="2"/>
        <v>-0.000215470803706014</v>
      </c>
      <c r="V6" s="23">
        <f t="shared" si="2"/>
        <v>0.0782159017453137</v>
      </c>
      <c r="W6" s="23">
        <f t="shared" si="2"/>
        <v>-0.002185683514797</v>
      </c>
      <c r="X6" s="23">
        <f t="shared" si="2"/>
        <v>-0.002185683514797</v>
      </c>
      <c r="Y6" s="23">
        <f t="shared" si="2"/>
        <v>-0.002185683514797</v>
      </c>
      <c r="Z6" s="23">
        <f t="shared" si="2"/>
        <v>-0.002185683514797</v>
      </c>
      <c r="AA6" s="23">
        <f t="shared" si="2"/>
        <v>-0.002185683514797</v>
      </c>
      <c r="AB6" s="23">
        <f t="shared" si="2"/>
        <v>-0.002185683514797</v>
      </c>
      <c r="AC6" s="23">
        <f t="shared" si="2"/>
        <v>0.0900371780118617</v>
      </c>
      <c r="AD6" s="23">
        <f t="shared" si="2"/>
        <v>-0.000588797508757011</v>
      </c>
      <c r="AE6" s="23">
        <f t="shared" si="2"/>
        <v>-0.000588797508757011</v>
      </c>
      <c r="AF6" s="23">
        <f t="shared" si="2"/>
        <v>-0.000588797508757011</v>
      </c>
      <c r="AG6" s="23">
        <f t="shared" si="2"/>
        <v>-0.000588797508757011</v>
      </c>
      <c r="AH6" s="23">
        <f t="shared" si="2"/>
        <v>-0.000588797508757011</v>
      </c>
      <c r="AI6" s="23">
        <f t="shared" si="2"/>
        <v>-0.000588797508757011</v>
      </c>
      <c r="AJ6" s="23">
        <f t="shared" si="2"/>
        <v>0.0804558619756189</v>
      </c>
      <c r="AK6" s="23">
        <f t="shared" si="2"/>
        <v>0.00223325062034799</v>
      </c>
      <c r="AL6" s="23">
        <f t="shared" si="2"/>
        <v>0.00223325062034799</v>
      </c>
      <c r="AM6" s="23">
        <f t="shared" si="2"/>
        <v>0.00223325062034799</v>
      </c>
      <c r="AN6" s="23">
        <f t="shared" si="2"/>
        <v>0.00223325062034799</v>
      </c>
      <c r="AO6" s="23">
        <f t="shared" si="2"/>
        <v>0.00223325062034799</v>
      </c>
      <c r="AP6" s="23">
        <f t="shared" si="2"/>
        <v>0.00223325062034799</v>
      </c>
      <c r="AQ6" s="23">
        <f t="shared" si="2"/>
        <v>0.0635235732009927</v>
      </c>
      <c r="AR6" s="23">
        <f t="shared" si="2"/>
        <v>-7.08768540900184e-5</v>
      </c>
      <c r="AS6" s="23">
        <f t="shared" si="2"/>
        <v>-7.08768540900184e-5</v>
      </c>
      <c r="AT6" s="23">
        <f t="shared" si="2"/>
        <v>-7.08768540900184e-5</v>
      </c>
      <c r="AU6" s="23">
        <f t="shared" si="2"/>
        <v>-7.08768540900184e-5</v>
      </c>
      <c r="AV6" s="23">
        <f t="shared" si="2"/>
        <v>-7.08768540900184e-5</v>
      </c>
      <c r="AW6" s="23">
        <f t="shared" si="2"/>
        <v>-7.08768540900184e-5</v>
      </c>
      <c r="AX6" s="23">
        <f t="shared" si="2"/>
        <v>0.0773483380476173</v>
      </c>
      <c r="AY6" s="23">
        <f t="shared" si="2"/>
        <v>-0.00312896496849502</v>
      </c>
      <c r="AZ6" s="23">
        <f t="shared" si="2"/>
        <v>-0.00312896496849502</v>
      </c>
      <c r="BA6" s="23">
        <f t="shared" si="2"/>
        <v>-0.00312896496849502</v>
      </c>
      <c r="BB6" s="23">
        <f t="shared" si="2"/>
        <v>-0.00312896496849502</v>
      </c>
      <c r="BC6" s="23">
        <f t="shared" si="2"/>
        <v>-0.00312896496849502</v>
      </c>
      <c r="BD6" s="23">
        <f t="shared" si="2"/>
        <v>-0.00312896496849502</v>
      </c>
      <c r="BE6" s="23">
        <f t="shared" si="2"/>
        <v>0.0956968667340489</v>
      </c>
      <c r="BF6" s="23">
        <f t="shared" si="2"/>
        <v>-0.00390327318244901</v>
      </c>
      <c r="BG6" s="23">
        <f t="shared" si="2"/>
        <v>-0.00390327318244921</v>
      </c>
      <c r="BH6" s="23">
        <f t="shared" si="2"/>
        <v>-0.00390327318244921</v>
      </c>
      <c r="BI6" s="23">
        <f t="shared" si="2"/>
        <v>-0.00390327318244921</v>
      </c>
      <c r="BJ6" s="23">
        <f t="shared" si="2"/>
        <v>-0.00390327318244921</v>
      </c>
      <c r="BK6" s="23">
        <f t="shared" si="2"/>
        <v>0.000927644691946922</v>
      </c>
      <c r="BL6" s="23">
        <f t="shared" si="2"/>
        <v>0.109400687032266</v>
      </c>
      <c r="BM6" s="23">
        <f t="shared" si="2"/>
        <v>0.139957264957265</v>
      </c>
      <c r="BN6" s="23">
        <f t="shared" ref="BN6:BY6" si="3">BN5-BN2</f>
        <v>-0.000103689414034019</v>
      </c>
      <c r="BO6" s="23">
        <f t="shared" si="3"/>
        <v>-0.000103689414034019</v>
      </c>
      <c r="BP6" s="23">
        <f t="shared" si="3"/>
        <v>-0.000103689414034019</v>
      </c>
      <c r="BQ6" s="23">
        <f t="shared" si="3"/>
        <v>-0.000103689414034019</v>
      </c>
      <c r="BR6" s="23">
        <f t="shared" si="3"/>
        <v>-0.000103689414034019</v>
      </c>
      <c r="BS6" s="23">
        <f t="shared" si="3"/>
        <v>-0.000103689414034019</v>
      </c>
      <c r="BT6" s="23">
        <f t="shared" si="3"/>
        <v>0.0775452134072825</v>
      </c>
      <c r="BU6" s="23">
        <f t="shared" si="3"/>
        <v>-0.00234525044764342</v>
      </c>
      <c r="BV6" s="23">
        <f t="shared" si="3"/>
        <v>-0.00234525044764342</v>
      </c>
      <c r="BW6" s="23">
        <f t="shared" si="3"/>
        <v>-0.00234525044764342</v>
      </c>
      <c r="BX6" s="23">
        <f t="shared" si="3"/>
        <v>-0.00234525044764342</v>
      </c>
      <c r="BY6" s="23">
        <f t="shared" si="3"/>
        <v>0.153846153846154</v>
      </c>
    </row>
    <row r="7" hidden="1"/>
    <row r="8" hidden="1" spans="1:77">
      <c r="A8" s="1" t="s">
        <v>6</v>
      </c>
    </row>
    <row r="9" hidden="1" spans="1:77">
      <c r="A9" s="1" t="s">
        <v>7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</row>
    <row r="10" hidden="1" spans="1:77">
      <c r="A10" s="1" t="s">
        <v>16</v>
      </c>
      <c r="B10" s="1">
        <v>100</v>
      </c>
      <c r="C10" s="23">
        <f>4/26</f>
        <v>0.153846153846154</v>
      </c>
      <c r="D10" s="1">
        <v>50</v>
      </c>
      <c r="E10" s="23">
        <f>AVERAGE(F$10:F10)</f>
        <v>0</v>
      </c>
      <c r="F10" s="23">
        <f t="shared" ref="F10:F20" si="4">G10/B10</f>
        <v>0</v>
      </c>
      <c r="G10" s="1">
        <f t="shared" ref="G10:G20" si="5">I10-H10</f>
        <v>0</v>
      </c>
      <c r="H10" s="1">
        <v>0</v>
      </c>
      <c r="I10" s="1">
        <v>0</v>
      </c>
    </row>
    <row r="11" hidden="1" spans="1:77">
      <c r="A11" s="1" t="s">
        <v>17</v>
      </c>
      <c r="B11" s="1">
        <v>50</v>
      </c>
      <c r="C11" s="23">
        <f>C10</f>
        <v>0.153846153846154</v>
      </c>
      <c r="D11" s="1">
        <v>25</v>
      </c>
      <c r="E11" s="23">
        <f>AVERAGE(F$10:F11)</f>
        <v>0</v>
      </c>
      <c r="F11" s="23">
        <f t="shared" si="4"/>
        <v>0</v>
      </c>
      <c r="G11" s="1">
        <f t="shared" si="5"/>
        <v>0</v>
      </c>
      <c r="H11" s="1">
        <v>0</v>
      </c>
      <c r="I11" s="1">
        <v>0</v>
      </c>
    </row>
    <row r="12" hidden="1"/>
    <row r="13" hidden="1" spans="1:77">
      <c r="A13" s="1" t="s">
        <v>18</v>
      </c>
    </row>
    <row r="14" hidden="1" spans="1:77">
      <c r="A14" s="1" t="s">
        <v>7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>
        <v>7</v>
      </c>
    </row>
    <row r="15" hidden="1" spans="1:77">
      <c r="A15" s="1" t="s">
        <v>19</v>
      </c>
      <c r="B15" s="1">
        <v>257</v>
      </c>
      <c r="C15" s="23">
        <f>4/26</f>
        <v>0.153846153846154</v>
      </c>
      <c r="D15" s="1">
        <f t="shared" ref="D10:D20" si="6">ROUND(B15*C15,0)</f>
        <v>40</v>
      </c>
      <c r="E15" s="23">
        <f>AVERAGE(F$15:F15)</f>
        <v>0.066147859922179</v>
      </c>
      <c r="F15" s="23">
        <f t="shared" si="4"/>
        <v>0.066147859922179</v>
      </c>
      <c r="G15" s="1">
        <f t="shared" si="5"/>
        <v>17</v>
      </c>
      <c r="H15" s="1">
        <v>240</v>
      </c>
      <c r="I15" s="21">
        <f t="shared" ref="I15:I20" si="7">MIN($J$14*D15,J15)</f>
        <v>257</v>
      </c>
      <c r="J15" s="1">
        <v>257</v>
      </c>
    </row>
    <row r="16" hidden="1" spans="1:77">
      <c r="A16" s="1" t="s">
        <v>20</v>
      </c>
      <c r="B16" s="1">
        <v>390</v>
      </c>
      <c r="C16" s="23">
        <f t="shared" ref="C16:C20" si="8">C15</f>
        <v>0.153846153846154</v>
      </c>
      <c r="D16" s="1">
        <f t="shared" si="6"/>
        <v>60</v>
      </c>
      <c r="E16" s="23">
        <f>AVERAGE(F$15:F16)</f>
        <v>0.071535468422628</v>
      </c>
      <c r="F16" s="23">
        <f t="shared" si="4"/>
        <v>0.0769230769230769</v>
      </c>
      <c r="G16" s="1">
        <f t="shared" si="5"/>
        <v>30</v>
      </c>
      <c r="H16" s="1">
        <v>360</v>
      </c>
      <c r="I16" s="21">
        <f t="shared" si="7"/>
        <v>390</v>
      </c>
      <c r="J16" s="1">
        <v>390</v>
      </c>
    </row>
    <row r="17" hidden="1" spans="1:10">
      <c r="A17" s="1" t="s">
        <v>21</v>
      </c>
      <c r="B17" s="1">
        <v>484</v>
      </c>
      <c r="C17" s="23">
        <f t="shared" si="8"/>
        <v>0.153846153846154</v>
      </c>
      <c r="D17" s="1">
        <f t="shared" si="6"/>
        <v>74</v>
      </c>
      <c r="E17" s="23">
        <f>AVERAGE(F$15:F17)</f>
        <v>0.0752385216481432</v>
      </c>
      <c r="F17" s="23">
        <f t="shared" si="4"/>
        <v>0.0826446280991736</v>
      </c>
      <c r="G17" s="1">
        <f t="shared" si="5"/>
        <v>40</v>
      </c>
      <c r="H17" s="1">
        <v>444</v>
      </c>
      <c r="I17" s="21">
        <f t="shared" si="7"/>
        <v>484</v>
      </c>
      <c r="J17" s="1">
        <v>484</v>
      </c>
    </row>
    <row r="18" hidden="1" spans="1:10">
      <c r="A18" s="1" t="s">
        <v>22</v>
      </c>
      <c r="B18" s="1">
        <v>240</v>
      </c>
      <c r="C18" s="23">
        <f t="shared" si="8"/>
        <v>0.153846153846154</v>
      </c>
      <c r="D18" s="1">
        <f t="shared" si="6"/>
        <v>37</v>
      </c>
      <c r="E18" s="23">
        <f>AVERAGE(F$15:F18)</f>
        <v>0.0751788912361074</v>
      </c>
      <c r="F18" s="23">
        <f t="shared" si="4"/>
        <v>0.075</v>
      </c>
      <c r="G18" s="1">
        <f t="shared" si="5"/>
        <v>18</v>
      </c>
      <c r="H18" s="1">
        <v>222</v>
      </c>
      <c r="I18" s="21">
        <f t="shared" si="7"/>
        <v>240</v>
      </c>
      <c r="J18" s="1">
        <v>240</v>
      </c>
    </row>
    <row r="19" hidden="1" spans="1:10">
      <c r="A19" s="1" t="s">
        <v>23</v>
      </c>
      <c r="B19" s="1">
        <v>271</v>
      </c>
      <c r="C19" s="23">
        <f t="shared" si="8"/>
        <v>0.153846153846154</v>
      </c>
      <c r="D19" s="1">
        <f t="shared" si="6"/>
        <v>42</v>
      </c>
      <c r="E19" s="23">
        <f>AVERAGE(F$15:F19)</f>
        <v>0.0741652532102881</v>
      </c>
      <c r="F19" s="23">
        <f t="shared" si="4"/>
        <v>0.0701107011070111</v>
      </c>
      <c r="G19" s="1">
        <f t="shared" si="5"/>
        <v>19</v>
      </c>
      <c r="H19" s="1">
        <v>252</v>
      </c>
      <c r="I19" s="21">
        <f t="shared" si="7"/>
        <v>271</v>
      </c>
      <c r="J19" s="1">
        <v>271</v>
      </c>
    </row>
    <row r="20" hidden="1" spans="1:10">
      <c r="A20" s="1" t="s">
        <v>24</v>
      </c>
      <c r="B20" s="1">
        <v>278</v>
      </c>
      <c r="C20" s="23">
        <f t="shared" si="8"/>
        <v>0.153846153846154</v>
      </c>
      <c r="D20" s="1">
        <f t="shared" si="6"/>
        <v>43</v>
      </c>
      <c r="E20" s="23">
        <f>AVERAGE(F$15:F20)</f>
        <v>0.073794785349101</v>
      </c>
      <c r="F20" s="23">
        <f t="shared" si="4"/>
        <v>0.0719424460431655</v>
      </c>
      <c r="G20" s="1">
        <f t="shared" si="5"/>
        <v>20</v>
      </c>
      <c r="H20" s="1">
        <v>258</v>
      </c>
      <c r="I20" s="21">
        <f t="shared" si="7"/>
        <v>278</v>
      </c>
      <c r="J20" s="1">
        <v>278</v>
      </c>
    </row>
    <row r="21" hidden="1" spans="1:10">
      <c r="C21" s="23"/>
      <c r="E21" s="23"/>
      <c r="F21" s="23"/>
    </row>
    <row r="22" hidden="1" spans="1:10">
      <c r="A22" s="1" t="s">
        <v>25</v>
      </c>
      <c r="C22" s="23"/>
      <c r="E22" s="23"/>
      <c r="F22" s="23"/>
    </row>
    <row r="23" hidden="1" spans="1:10">
      <c r="A23" s="1" t="s">
        <v>7</v>
      </c>
      <c r="B23" s="1" t="s">
        <v>8</v>
      </c>
      <c r="C23" s="1" t="s">
        <v>9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>
        <v>7</v>
      </c>
    </row>
    <row r="24" hidden="1" spans="1:10">
      <c r="A24" s="1" t="s">
        <v>26</v>
      </c>
      <c r="B24" s="1">
        <v>440</v>
      </c>
      <c r="C24" s="23">
        <f>4/26</f>
        <v>0.153846153846154</v>
      </c>
      <c r="D24" s="1">
        <f t="shared" ref="D24:D28" si="9">ROUND(B24*C24,0)</f>
        <v>68</v>
      </c>
      <c r="E24" s="23">
        <f>AVERAGE(F$24:F24)</f>
        <v>0.0727272727272727</v>
      </c>
      <c r="F24" s="23">
        <f t="shared" ref="F24:F28" si="10">G24/B24</f>
        <v>0.0727272727272727</v>
      </c>
      <c r="G24" s="1">
        <f t="shared" ref="G24:G28" si="11">I24-H24</f>
        <v>32</v>
      </c>
      <c r="H24" s="1">
        <v>408</v>
      </c>
      <c r="I24" s="21">
        <f t="shared" ref="I24:I28" si="12">MIN($J$23*D24,J24)</f>
        <v>440</v>
      </c>
      <c r="J24" s="1">
        <v>440</v>
      </c>
    </row>
    <row r="25" hidden="1" spans="1:10">
      <c r="A25" s="1" t="s">
        <v>27</v>
      </c>
      <c r="B25" s="1">
        <v>378</v>
      </c>
      <c r="C25" s="23">
        <f t="shared" ref="C25:C28" si="13">C24</f>
        <v>0.153846153846154</v>
      </c>
      <c r="D25" s="1">
        <f t="shared" si="9"/>
        <v>58</v>
      </c>
      <c r="E25" s="23">
        <f>AVERAGE(F$24:F25)</f>
        <v>0.076046176046176</v>
      </c>
      <c r="F25" s="23">
        <f t="shared" si="10"/>
        <v>0.0793650793650794</v>
      </c>
      <c r="G25" s="1">
        <f t="shared" si="11"/>
        <v>30</v>
      </c>
      <c r="H25" s="1">
        <v>348</v>
      </c>
      <c r="I25" s="21">
        <f t="shared" si="12"/>
        <v>378</v>
      </c>
      <c r="J25" s="1">
        <v>378</v>
      </c>
    </row>
    <row r="26" hidden="1" spans="1:10">
      <c r="A26" s="1" t="s">
        <v>28</v>
      </c>
      <c r="B26" s="1">
        <v>209</v>
      </c>
      <c r="C26" s="23">
        <f t="shared" si="13"/>
        <v>0.153846153846154</v>
      </c>
      <c r="D26" s="1">
        <f t="shared" si="9"/>
        <v>32</v>
      </c>
      <c r="E26" s="23">
        <f>AVERAGE(F$24:F26)</f>
        <v>0.0778106883370041</v>
      </c>
      <c r="F26" s="23">
        <f t="shared" si="10"/>
        <v>0.0813397129186603</v>
      </c>
      <c r="G26" s="1">
        <f t="shared" si="11"/>
        <v>17</v>
      </c>
      <c r="H26" s="1">
        <v>192</v>
      </c>
      <c r="I26" s="21">
        <f t="shared" si="12"/>
        <v>209</v>
      </c>
      <c r="J26" s="1">
        <v>209</v>
      </c>
    </row>
    <row r="27" hidden="1" spans="1:10">
      <c r="A27" s="1" t="s">
        <v>29</v>
      </c>
      <c r="B27" s="1">
        <v>62</v>
      </c>
      <c r="C27" s="23">
        <f t="shared" si="13"/>
        <v>0.153846153846154</v>
      </c>
      <c r="D27" s="1">
        <f t="shared" si="9"/>
        <v>10</v>
      </c>
      <c r="E27" s="23">
        <f>AVERAGE(F$24:F27)</f>
        <v>0.0664225323817854</v>
      </c>
      <c r="F27" s="23">
        <f t="shared" si="10"/>
        <v>0.032258064516129</v>
      </c>
      <c r="G27" s="1">
        <f t="shared" si="11"/>
        <v>2</v>
      </c>
      <c r="H27" s="1">
        <v>60</v>
      </c>
      <c r="I27" s="21">
        <f t="shared" si="12"/>
        <v>62</v>
      </c>
      <c r="J27" s="1">
        <v>62</v>
      </c>
    </row>
    <row r="28" hidden="1" spans="1:10">
      <c r="A28" s="1" t="s">
        <v>30</v>
      </c>
      <c r="B28" s="1">
        <v>464</v>
      </c>
      <c r="C28" s="23">
        <f t="shared" si="13"/>
        <v>0.153846153846154</v>
      </c>
      <c r="D28" s="1">
        <f t="shared" si="9"/>
        <v>71</v>
      </c>
      <c r="E28" s="23">
        <f>AVERAGE(F$24:F28)</f>
        <v>0.0695173362502559</v>
      </c>
      <c r="F28" s="23">
        <f t="shared" si="10"/>
        <v>0.0818965517241379</v>
      </c>
      <c r="G28" s="1">
        <f t="shared" si="11"/>
        <v>38</v>
      </c>
      <c r="H28" s="1">
        <v>426</v>
      </c>
      <c r="I28" s="21">
        <f t="shared" si="12"/>
        <v>464</v>
      </c>
      <c r="J28" s="1">
        <v>464</v>
      </c>
    </row>
    <row r="29" hidden="1" spans="1:10">
      <c r="C29" s="23"/>
      <c r="E29" s="23"/>
      <c r="F29" s="23"/>
    </row>
    <row r="30" hidden="1" spans="1:10">
      <c r="A30" s="1" t="s">
        <v>31</v>
      </c>
    </row>
    <row r="31" hidden="1" spans="1:10">
      <c r="A31" s="1" t="s">
        <v>7</v>
      </c>
      <c r="B31" s="1" t="s">
        <v>8</v>
      </c>
      <c r="C31" s="1" t="s">
        <v>9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>
        <v>7</v>
      </c>
    </row>
    <row r="32" hidden="1" spans="1:10">
      <c r="A32" s="1" t="s">
        <v>32</v>
      </c>
      <c r="B32" s="1">
        <v>132</v>
      </c>
      <c r="C32" s="23">
        <f t="shared" ref="C32:C35" si="14">4/26</f>
        <v>0.153846153846154</v>
      </c>
      <c r="D32" s="1">
        <f t="shared" ref="D32:D35" si="15">ROUND(B32*C32,0)</f>
        <v>20</v>
      </c>
      <c r="E32" s="23">
        <f>AVERAGE(F$32:F32)</f>
        <v>0.0909090909090909</v>
      </c>
      <c r="F32" s="23">
        <f t="shared" ref="F32:F35" si="16">G32/B32</f>
        <v>0.0909090909090909</v>
      </c>
      <c r="G32" s="1">
        <f t="shared" ref="G32:G35" si="17">I32-H32</f>
        <v>12</v>
      </c>
      <c r="H32" s="1">
        <v>120</v>
      </c>
      <c r="I32" s="21">
        <f t="shared" ref="I32:I35" si="18">MIN($J$31*D32,J32)</f>
        <v>132</v>
      </c>
      <c r="J32" s="1">
        <v>132</v>
      </c>
    </row>
    <row r="33" hidden="1" spans="1:10">
      <c r="A33" s="1" t="s">
        <v>33</v>
      </c>
      <c r="B33" s="1">
        <v>30</v>
      </c>
      <c r="C33" s="23">
        <f t="shared" si="14"/>
        <v>0.153846153846154</v>
      </c>
      <c r="D33" s="1">
        <f t="shared" si="15"/>
        <v>5</v>
      </c>
      <c r="E33" s="23">
        <f>AVERAGE(F$32:F33)</f>
        <v>0.0454545454545455</v>
      </c>
      <c r="F33" s="23">
        <f t="shared" si="16"/>
        <v>0</v>
      </c>
      <c r="G33" s="1">
        <f t="shared" si="17"/>
        <v>0</v>
      </c>
      <c r="H33" s="1">
        <v>30</v>
      </c>
      <c r="I33" s="21">
        <f t="shared" si="18"/>
        <v>30</v>
      </c>
      <c r="J33" s="1">
        <v>30</v>
      </c>
    </row>
    <row r="34" hidden="1" spans="1:10">
      <c r="A34" s="1" t="s">
        <v>34</v>
      </c>
      <c r="B34" s="1">
        <v>395</v>
      </c>
      <c r="C34" s="23">
        <f t="shared" si="14"/>
        <v>0.153846153846154</v>
      </c>
      <c r="D34" s="1">
        <f t="shared" si="15"/>
        <v>61</v>
      </c>
      <c r="E34" s="23">
        <f>AVERAGE(F$32:F34)</f>
        <v>0.0547756041426928</v>
      </c>
      <c r="F34" s="23">
        <f t="shared" si="16"/>
        <v>0.0734177215189873</v>
      </c>
      <c r="G34" s="1">
        <f t="shared" si="17"/>
        <v>29</v>
      </c>
      <c r="H34" s="1">
        <v>366</v>
      </c>
      <c r="I34" s="21">
        <f t="shared" si="18"/>
        <v>395</v>
      </c>
      <c r="J34" s="1">
        <v>395</v>
      </c>
    </row>
    <row r="35" hidden="1" spans="1:10">
      <c r="A35" s="1" t="s">
        <v>35</v>
      </c>
      <c r="B35" s="1">
        <v>66</v>
      </c>
      <c r="C35" s="23">
        <f t="shared" si="14"/>
        <v>0.153846153846154</v>
      </c>
      <c r="D35" s="1">
        <f t="shared" si="15"/>
        <v>10</v>
      </c>
      <c r="E35" s="23">
        <f>AVERAGE(F$32:F35)</f>
        <v>0.0638089758342923</v>
      </c>
      <c r="F35" s="23">
        <f t="shared" si="16"/>
        <v>0.0909090909090909</v>
      </c>
      <c r="G35" s="1">
        <f t="shared" si="17"/>
        <v>6</v>
      </c>
      <c r="H35" s="1">
        <v>60</v>
      </c>
      <c r="I35" s="21">
        <f t="shared" si="18"/>
        <v>66</v>
      </c>
      <c r="J35" s="1">
        <v>66</v>
      </c>
    </row>
    <row r="36" hidden="1"/>
    <row r="37" hidden="1" spans="1:10">
      <c r="A37" s="4" t="s">
        <v>36</v>
      </c>
      <c r="C37" s="23"/>
      <c r="E37" s="23"/>
      <c r="F37" s="23"/>
    </row>
    <row r="38" hidden="1" spans="1:10">
      <c r="A38" s="4" t="s">
        <v>7</v>
      </c>
      <c r="B38" s="1" t="s">
        <v>8</v>
      </c>
      <c r="C38" s="1" t="s">
        <v>9</v>
      </c>
      <c r="D38" s="1" t="s">
        <v>10</v>
      </c>
      <c r="E38" s="1" t="s">
        <v>11</v>
      </c>
      <c r="F38" s="1" t="s">
        <v>12</v>
      </c>
      <c r="G38" s="1" t="s">
        <v>13</v>
      </c>
      <c r="H38" s="1" t="s">
        <v>14</v>
      </c>
      <c r="I38" s="1" t="s">
        <v>15</v>
      </c>
      <c r="J38" s="1">
        <v>7</v>
      </c>
    </row>
    <row r="39" hidden="1" spans="1:10">
      <c r="A39" s="4" t="s">
        <v>37</v>
      </c>
      <c r="B39" s="1">
        <f>100+148</f>
        <v>248</v>
      </c>
      <c r="C39" s="23">
        <f>4/26</f>
        <v>0.153846153846154</v>
      </c>
      <c r="D39" s="1">
        <f>ROUND(B39*C39,0)</f>
        <v>38</v>
      </c>
      <c r="E39" s="23">
        <f>AVERAGE(F$39:F39)</f>
        <v>0.0806451612903226</v>
      </c>
      <c r="F39" s="23">
        <f>G39/B39</f>
        <v>0.0806451612903226</v>
      </c>
      <c r="G39" s="1">
        <f>I39-H39</f>
        <v>20</v>
      </c>
      <c r="H39" s="1">
        <v>228</v>
      </c>
      <c r="I39" s="21">
        <f>MIN($J$38*D39,J39)</f>
        <v>248</v>
      </c>
      <c r="J39" s="1">
        <v>248</v>
      </c>
    </row>
    <row r="40" hidden="1" spans="1:10">
      <c r="A40" s="4" t="s">
        <v>38</v>
      </c>
      <c r="B40" s="1">
        <v>40</v>
      </c>
      <c r="C40" s="23">
        <f>4/26</f>
        <v>0.153846153846154</v>
      </c>
      <c r="D40" s="1">
        <f>ROUND(B40*C40,0)</f>
        <v>6</v>
      </c>
      <c r="E40" s="23">
        <f>AVERAGE(F$39:F40)</f>
        <v>0.0903225806451613</v>
      </c>
      <c r="F40" s="23">
        <f>G40/B40</f>
        <v>0.1</v>
      </c>
      <c r="G40" s="1">
        <f>I40-H40</f>
        <v>4</v>
      </c>
      <c r="H40" s="1">
        <v>36</v>
      </c>
      <c r="I40" s="21">
        <f>MIN($J$38*D40,J40)</f>
        <v>40</v>
      </c>
      <c r="J40" s="1">
        <v>40</v>
      </c>
    </row>
    <row r="41" hidden="1"/>
    <row r="42" hidden="1" spans="1:10">
      <c r="A42" s="1" t="s">
        <v>39</v>
      </c>
      <c r="C42" s="23"/>
      <c r="E42" s="23"/>
      <c r="F42" s="23"/>
    </row>
    <row r="43" hidden="1" spans="1:10">
      <c r="A43" s="1" t="s">
        <v>7</v>
      </c>
      <c r="B43" s="1" t="s">
        <v>8</v>
      </c>
      <c r="C43" s="1" t="s">
        <v>9</v>
      </c>
      <c r="D43" s="1" t="s">
        <v>10</v>
      </c>
      <c r="E43" s="1" t="s">
        <v>11</v>
      </c>
      <c r="F43" s="1" t="s">
        <v>12</v>
      </c>
      <c r="G43" s="1" t="s">
        <v>13</v>
      </c>
      <c r="H43" s="1" t="s">
        <v>14</v>
      </c>
      <c r="I43" s="1" t="s">
        <v>15</v>
      </c>
      <c r="J43" s="1">
        <v>7</v>
      </c>
    </row>
    <row r="44" hidden="1" spans="1:10">
      <c r="A44" s="1" t="s">
        <v>40</v>
      </c>
      <c r="B44" s="1">
        <f>212+52+63+30</f>
        <v>357</v>
      </c>
      <c r="C44" s="23">
        <f t="shared" ref="C44:C49" si="19">4/26</f>
        <v>0.153846153846154</v>
      </c>
      <c r="D44" s="1">
        <f>ROUND(B44*C44,0)</f>
        <v>55</v>
      </c>
      <c r="E44" s="23">
        <f>AVERAGE(F$44:F44)</f>
        <v>0.0756302521008403</v>
      </c>
      <c r="F44" s="23">
        <f>G44/B44</f>
        <v>0.0756302521008403</v>
      </c>
      <c r="G44" s="1">
        <f>I44-H44</f>
        <v>27</v>
      </c>
      <c r="H44" s="1">
        <v>330</v>
      </c>
      <c r="I44" s="21">
        <f>MIN($J$43*D44,J44)</f>
        <v>357</v>
      </c>
      <c r="J44" s="1">
        <f>327+30</f>
        <v>357</v>
      </c>
    </row>
    <row r="45" hidden="1"/>
    <row r="46" hidden="1" spans="1:10">
      <c r="A46" s="1" t="s">
        <v>39</v>
      </c>
      <c r="C46" s="23"/>
      <c r="E46" s="23"/>
      <c r="F46" s="23"/>
    </row>
    <row r="47" hidden="1" spans="1:10">
      <c r="A47" s="1" t="s">
        <v>7</v>
      </c>
      <c r="B47" s="1" t="s">
        <v>8</v>
      </c>
      <c r="C47" s="1" t="s">
        <v>9</v>
      </c>
      <c r="D47" s="1" t="s">
        <v>10</v>
      </c>
      <c r="E47" s="1" t="s">
        <v>11</v>
      </c>
      <c r="F47" s="1" t="s">
        <v>12</v>
      </c>
      <c r="G47" s="1" t="s">
        <v>13</v>
      </c>
      <c r="H47" s="1" t="s">
        <v>14</v>
      </c>
      <c r="I47" s="1" t="s">
        <v>15</v>
      </c>
      <c r="J47" s="1">
        <v>7</v>
      </c>
    </row>
    <row r="48" hidden="1" spans="1:10">
      <c r="A48" s="1" t="s">
        <v>41</v>
      </c>
      <c r="B48" s="1">
        <v>523</v>
      </c>
      <c r="C48" s="23">
        <f t="shared" si="19"/>
        <v>0.153846153846154</v>
      </c>
      <c r="D48" s="1">
        <f t="shared" ref="D48:D54" si="20">ROUND(B48*C48,0)</f>
        <v>80</v>
      </c>
      <c r="E48" s="23">
        <f>AVERAGE(F$48:F48)</f>
        <v>0.0822179732313576</v>
      </c>
      <c r="F48" s="23">
        <f t="shared" ref="F48:F54" si="21">G48/B48</f>
        <v>0.0822179732313576</v>
      </c>
      <c r="G48" s="1">
        <f t="shared" ref="G48:G54" si="22">I48-H48</f>
        <v>43</v>
      </c>
      <c r="H48" s="1">
        <v>480</v>
      </c>
      <c r="I48" s="21">
        <f t="shared" ref="I48:I54" si="23">MIN($J$47*D48,J48)</f>
        <v>523</v>
      </c>
      <c r="J48" s="1">
        <v>523</v>
      </c>
    </row>
    <row r="49" hidden="1" spans="1:10">
      <c r="A49" s="1" t="s">
        <v>42</v>
      </c>
      <c r="B49" s="1">
        <v>434</v>
      </c>
      <c r="C49" s="23">
        <f t="shared" si="19"/>
        <v>0.153846153846154</v>
      </c>
      <c r="D49" s="1">
        <f t="shared" si="20"/>
        <v>67</v>
      </c>
      <c r="E49" s="23">
        <f>AVERAGE(F$48:F49)</f>
        <v>0.0779753460626834</v>
      </c>
      <c r="F49" s="23">
        <f t="shared" si="21"/>
        <v>0.0737327188940092</v>
      </c>
      <c r="G49" s="1">
        <f t="shared" si="22"/>
        <v>32</v>
      </c>
      <c r="H49" s="1">
        <v>402</v>
      </c>
      <c r="I49" s="21">
        <f t="shared" si="23"/>
        <v>434</v>
      </c>
      <c r="J49" s="1">
        <v>434</v>
      </c>
    </row>
    <row r="50" hidden="1" spans="1:10">
      <c r="A50" s="1" t="s">
        <v>43</v>
      </c>
      <c r="B50" s="1">
        <f>26+83</f>
        <v>109</v>
      </c>
      <c r="C50" s="23">
        <f t="shared" ref="C50:C60" si="24">4/26</f>
        <v>0.153846153846154</v>
      </c>
      <c r="D50" s="1">
        <f t="shared" si="20"/>
        <v>17</v>
      </c>
      <c r="E50" s="23">
        <f>AVERAGE(F$48:F50)</f>
        <v>0.0733902918705351</v>
      </c>
      <c r="F50" s="23">
        <f t="shared" si="21"/>
        <v>0.0642201834862385</v>
      </c>
      <c r="G50" s="1">
        <f t="shared" si="22"/>
        <v>7</v>
      </c>
      <c r="H50" s="1">
        <v>102</v>
      </c>
      <c r="I50" s="21">
        <f t="shared" si="23"/>
        <v>109</v>
      </c>
      <c r="J50" s="1">
        <v>109</v>
      </c>
    </row>
    <row r="51" hidden="1" spans="1:10">
      <c r="C51" s="23"/>
      <c r="E51" s="23"/>
      <c r="F51" s="23"/>
      <c r="I51" s="25"/>
    </row>
    <row r="52" hidden="1" spans="1:10">
      <c r="A52" s="1" t="s">
        <v>44</v>
      </c>
      <c r="C52" s="23"/>
      <c r="E52" s="23"/>
      <c r="F52" s="23"/>
    </row>
    <row r="53" hidden="1" spans="1:10">
      <c r="A53" s="1" t="s">
        <v>7</v>
      </c>
      <c r="B53" s="1" t="s">
        <v>8</v>
      </c>
      <c r="C53" s="1" t="s">
        <v>9</v>
      </c>
      <c r="D53" s="1" t="s">
        <v>10</v>
      </c>
      <c r="E53" s="1" t="s">
        <v>11</v>
      </c>
      <c r="F53" s="1" t="s">
        <v>12</v>
      </c>
      <c r="G53" s="1" t="s">
        <v>13</v>
      </c>
      <c r="H53" s="1" t="s">
        <v>14</v>
      </c>
      <c r="I53" s="1" t="s">
        <v>15</v>
      </c>
      <c r="J53" s="1">
        <v>7</v>
      </c>
    </row>
    <row r="54" hidden="1" spans="1:10">
      <c r="A54" s="26" t="s">
        <v>45</v>
      </c>
      <c r="B54" s="1">
        <f>414+378</f>
        <v>792</v>
      </c>
      <c r="C54" s="23">
        <f t="shared" si="24"/>
        <v>0.153846153846154</v>
      </c>
      <c r="D54" s="1">
        <f t="shared" ref="D54:D60" si="25">ROUND(B54*C54,0)</f>
        <v>122</v>
      </c>
      <c r="E54" s="23">
        <f>AVERAGE(F$54:F54)</f>
        <v>0.0757575757575758</v>
      </c>
      <c r="F54" s="23">
        <f t="shared" ref="F54:F60" si="26">G54/B54</f>
        <v>0.0757575757575758</v>
      </c>
      <c r="G54" s="1">
        <f t="shared" ref="G54:G60" si="27">I54-H54</f>
        <v>60</v>
      </c>
      <c r="H54" s="1">
        <v>732</v>
      </c>
      <c r="I54" s="21">
        <f t="shared" ref="I54:I60" si="28">MIN($J$53*D54,J54)</f>
        <v>792</v>
      </c>
      <c r="J54" s="21">
        <v>792</v>
      </c>
    </row>
    <row r="55" hidden="1" spans="1:10">
      <c r="A55" s="26" t="s">
        <v>46</v>
      </c>
      <c r="B55" s="1">
        <v>937</v>
      </c>
      <c r="C55" s="23">
        <f t="shared" si="24"/>
        <v>0.153846153846154</v>
      </c>
      <c r="D55" s="1">
        <f t="shared" si="25"/>
        <v>144</v>
      </c>
      <c r="E55" s="23">
        <f>AVERAGE(F$54:F55)</f>
        <v>0.0768328967368455</v>
      </c>
      <c r="F55" s="23">
        <f t="shared" si="26"/>
        <v>0.0779082177161153</v>
      </c>
      <c r="G55" s="1">
        <f t="shared" si="27"/>
        <v>73</v>
      </c>
      <c r="H55" s="1">
        <v>864</v>
      </c>
      <c r="I55" s="21">
        <f t="shared" si="28"/>
        <v>937</v>
      </c>
      <c r="J55" s="21">
        <v>937</v>
      </c>
    </row>
    <row r="56" hidden="1" spans="1:10">
      <c r="A56" s="26" t="s">
        <v>47</v>
      </c>
      <c r="B56" s="1">
        <v>360</v>
      </c>
      <c r="C56" s="23">
        <f t="shared" si="24"/>
        <v>0.153846153846154</v>
      </c>
      <c r="D56" s="1">
        <f t="shared" si="25"/>
        <v>55</v>
      </c>
      <c r="E56" s="23">
        <f>AVERAGE(F$54:F56)</f>
        <v>0.0789997089356748</v>
      </c>
      <c r="F56" s="23">
        <f t="shared" si="26"/>
        <v>0.0833333333333333</v>
      </c>
      <c r="G56" s="1">
        <f t="shared" si="27"/>
        <v>30</v>
      </c>
      <c r="H56" s="1">
        <v>330</v>
      </c>
      <c r="I56" s="21">
        <f t="shared" si="28"/>
        <v>360</v>
      </c>
      <c r="J56" s="21">
        <v>360</v>
      </c>
    </row>
    <row r="57" hidden="1" spans="1:10">
      <c r="A57" s="26" t="s">
        <v>48</v>
      </c>
      <c r="B57" s="1">
        <f>345+140+154</f>
        <v>639</v>
      </c>
      <c r="C57" s="23">
        <f t="shared" si="24"/>
        <v>0.153846153846154</v>
      </c>
      <c r="D57" s="1">
        <f t="shared" si="25"/>
        <v>98</v>
      </c>
      <c r="E57" s="23">
        <f>AVERAGE(F$54:F57)</f>
        <v>0.0792028333449486</v>
      </c>
      <c r="F57" s="23">
        <f t="shared" si="26"/>
        <v>0.07981220657277</v>
      </c>
      <c r="G57" s="1">
        <f t="shared" si="27"/>
        <v>51</v>
      </c>
      <c r="H57" s="1">
        <v>588</v>
      </c>
      <c r="I57" s="21">
        <f t="shared" si="28"/>
        <v>639</v>
      </c>
      <c r="J57" s="21">
        <v>639</v>
      </c>
    </row>
    <row r="58" hidden="1" spans="1:10">
      <c r="A58" s="27" t="s">
        <v>49</v>
      </c>
      <c r="B58" s="1">
        <v>738</v>
      </c>
      <c r="C58" s="23">
        <f t="shared" si="24"/>
        <v>0.153846153846154</v>
      </c>
      <c r="D58" s="1">
        <f t="shared" si="25"/>
        <v>114</v>
      </c>
      <c r="E58" s="23">
        <f>AVERAGE(F$54:F58)</f>
        <v>0.0779964130174223</v>
      </c>
      <c r="F58" s="23">
        <f t="shared" si="26"/>
        <v>0.0731707317073171</v>
      </c>
      <c r="G58" s="1">
        <f t="shared" si="27"/>
        <v>54</v>
      </c>
      <c r="H58" s="1">
        <v>684</v>
      </c>
      <c r="I58" s="21">
        <f t="shared" si="28"/>
        <v>738</v>
      </c>
      <c r="J58" s="21">
        <v>738</v>
      </c>
    </row>
    <row r="59" hidden="1" spans="1:10">
      <c r="A59" s="17" t="s">
        <v>50</v>
      </c>
      <c r="B59" s="1">
        <f>441+207</f>
        <v>648</v>
      </c>
      <c r="C59" s="23">
        <f t="shared" si="24"/>
        <v>0.153846153846154</v>
      </c>
      <c r="D59" s="1">
        <f t="shared" si="25"/>
        <v>100</v>
      </c>
      <c r="E59" s="23">
        <f>AVERAGE(F$54:F59)</f>
        <v>0.0773426898601976</v>
      </c>
      <c r="F59" s="23">
        <f t="shared" si="26"/>
        <v>0.0740740740740741</v>
      </c>
      <c r="G59" s="1">
        <f t="shared" si="27"/>
        <v>48</v>
      </c>
      <c r="H59" s="1">
        <v>600</v>
      </c>
      <c r="I59" s="21">
        <f t="shared" si="28"/>
        <v>648</v>
      </c>
      <c r="J59" s="21">
        <v>648</v>
      </c>
    </row>
    <row r="60" hidden="1" spans="1:10">
      <c r="A60" s="27" t="s">
        <v>51</v>
      </c>
      <c r="B60" s="1">
        <f>196+56</f>
        <v>252</v>
      </c>
      <c r="C60" s="23">
        <f t="shared" si="24"/>
        <v>0.153846153846154</v>
      </c>
      <c r="D60" s="1">
        <f t="shared" si="25"/>
        <v>39</v>
      </c>
      <c r="E60" s="23">
        <f>AVERAGE(F$54:F60)</f>
        <v>0.0764978157985367</v>
      </c>
      <c r="F60" s="23">
        <f t="shared" si="26"/>
        <v>0.0714285714285714</v>
      </c>
      <c r="G60" s="1">
        <f t="shared" si="27"/>
        <v>18</v>
      </c>
      <c r="H60" s="1">
        <v>234</v>
      </c>
      <c r="I60" s="21">
        <f t="shared" si="28"/>
        <v>252</v>
      </c>
      <c r="J60" s="21">
        <v>252</v>
      </c>
    </row>
    <row r="61" hidden="1"/>
    <row r="62" hidden="1" spans="1:10">
      <c r="A62" s="1" t="s">
        <v>52</v>
      </c>
    </row>
    <row r="63" hidden="1" spans="1:10">
      <c r="A63" s="1" t="s">
        <v>7</v>
      </c>
      <c r="B63" s="1" t="s">
        <v>8</v>
      </c>
      <c r="C63" s="1" t="s">
        <v>9</v>
      </c>
      <c r="D63" s="1" t="s">
        <v>10</v>
      </c>
      <c r="E63" s="1" t="s">
        <v>11</v>
      </c>
      <c r="F63" s="1" t="s">
        <v>12</v>
      </c>
      <c r="G63" s="1" t="s">
        <v>13</v>
      </c>
      <c r="H63" s="1" t="s">
        <v>14</v>
      </c>
      <c r="I63" s="1" t="s">
        <v>15</v>
      </c>
      <c r="J63" s="1">
        <v>7</v>
      </c>
    </row>
    <row r="64" hidden="1" spans="1:10">
      <c r="A64" s="1" t="s">
        <v>53</v>
      </c>
      <c r="B64" s="1">
        <f>18+31</f>
        <v>49</v>
      </c>
      <c r="C64" s="23">
        <f>4/26</f>
        <v>0.153846153846154</v>
      </c>
      <c r="D64" s="1">
        <f t="shared" ref="D64:D77" si="29">ROUND(B64*C64,0)</f>
        <v>8</v>
      </c>
      <c r="E64" s="23">
        <f>AVERAGE(F$64:F64)</f>
        <v>0.0204081632653061</v>
      </c>
      <c r="F64" s="23">
        <f t="shared" ref="F64:F77" si="30">G64/B64</f>
        <v>0.0204081632653061</v>
      </c>
      <c r="G64" s="1">
        <f t="shared" ref="G64:G77" si="31">I64-H64</f>
        <v>1</v>
      </c>
      <c r="H64" s="1">
        <v>48</v>
      </c>
      <c r="I64" s="21">
        <f>MIN($J$63*D64,J64)</f>
        <v>49</v>
      </c>
      <c r="J64" s="21">
        <v>49</v>
      </c>
    </row>
    <row r="65" hidden="1" spans="1:58">
      <c r="A65" s="1" t="s">
        <v>54</v>
      </c>
      <c r="B65" s="1">
        <f>17+45+11</f>
        <v>73</v>
      </c>
      <c r="C65" s="23">
        <f>C64</f>
        <v>0.153846153846154</v>
      </c>
      <c r="D65" s="1">
        <f t="shared" si="29"/>
        <v>11</v>
      </c>
      <c r="E65" s="23">
        <f>AVERAGE(F$64:F65)</f>
        <v>0.0581492871121051</v>
      </c>
      <c r="F65" s="23">
        <f t="shared" si="30"/>
        <v>0.0958904109589041</v>
      </c>
      <c r="G65" s="1">
        <f t="shared" si="31"/>
        <v>7</v>
      </c>
      <c r="H65" s="1">
        <v>66</v>
      </c>
      <c r="I65" s="21">
        <f>MIN($J$63*D65,J65)</f>
        <v>73</v>
      </c>
      <c r="J65" s="21">
        <v>73</v>
      </c>
    </row>
    <row r="66" hidden="1"/>
    <row r="67" hidden="1" spans="1:58">
      <c r="A67" s="1" t="s">
        <v>55</v>
      </c>
    </row>
    <row r="68" hidden="1" spans="1:58">
      <c r="A68" s="1" t="s">
        <v>7</v>
      </c>
      <c r="B68" s="1" t="s">
        <v>8</v>
      </c>
      <c r="C68" s="1" t="s">
        <v>9</v>
      </c>
      <c r="D68" s="1" t="s">
        <v>10</v>
      </c>
      <c r="E68" s="1" t="s">
        <v>11</v>
      </c>
      <c r="F68" s="1" t="s">
        <v>12</v>
      </c>
      <c r="G68" s="1" t="s">
        <v>13</v>
      </c>
      <c r="H68" s="1" t="s">
        <v>14</v>
      </c>
      <c r="I68" s="1" t="s">
        <v>15</v>
      </c>
      <c r="J68" s="1">
        <v>8</v>
      </c>
    </row>
    <row r="69" hidden="1" spans="1:58">
      <c r="A69" s="1" t="s">
        <v>56</v>
      </c>
      <c r="B69" s="1">
        <v>44</v>
      </c>
      <c r="C69" s="23">
        <f>4/26</f>
        <v>0.153846153846154</v>
      </c>
      <c r="D69" s="1">
        <f t="shared" si="29"/>
        <v>7</v>
      </c>
      <c r="E69" s="23">
        <f>AVERAGE(F$69:F69)</f>
        <v>0</v>
      </c>
      <c r="F69" s="23">
        <f>G69/B69</f>
        <v>0</v>
      </c>
      <c r="G69" s="1">
        <f t="shared" si="31"/>
        <v>0</v>
      </c>
      <c r="H69" s="1">
        <v>44</v>
      </c>
      <c r="I69" s="21">
        <f t="shared" ref="I69:I77" si="32">MIN($J$68*D69,J69)</f>
        <v>44</v>
      </c>
      <c r="J69" s="21">
        <v>44</v>
      </c>
    </row>
    <row r="70" hidden="1" spans="1:58">
      <c r="A70" s="1" t="s">
        <v>57</v>
      </c>
      <c r="B70" s="1">
        <v>40</v>
      </c>
      <c r="C70" s="23">
        <f t="shared" ref="C70:C77" si="33">C69</f>
        <v>0.153846153846154</v>
      </c>
      <c r="D70" s="1">
        <f t="shared" si="29"/>
        <v>6</v>
      </c>
      <c r="E70" s="23">
        <f>AVERAGE(F$69:F70)</f>
        <v>0</v>
      </c>
      <c r="F70" s="23">
        <f t="shared" si="30"/>
        <v>0</v>
      </c>
      <c r="G70" s="1">
        <f t="shared" si="31"/>
        <v>0</v>
      </c>
      <c r="H70" s="1">
        <v>40</v>
      </c>
      <c r="I70" s="21">
        <f t="shared" si="32"/>
        <v>40</v>
      </c>
      <c r="J70" s="21">
        <v>40</v>
      </c>
    </row>
    <row r="71" hidden="1" spans="1:58">
      <c r="A71" s="1" t="s">
        <v>58</v>
      </c>
      <c r="B71" s="1">
        <v>30</v>
      </c>
      <c r="C71" s="23">
        <f t="shared" si="33"/>
        <v>0.153846153846154</v>
      </c>
      <c r="D71" s="1">
        <f t="shared" si="29"/>
        <v>5</v>
      </c>
      <c r="E71" s="23">
        <f>AVERAGE(F$69:F71)</f>
        <v>0</v>
      </c>
      <c r="F71" s="23">
        <f t="shared" si="30"/>
        <v>0</v>
      </c>
      <c r="G71" s="1">
        <f t="shared" si="31"/>
        <v>0</v>
      </c>
      <c r="H71" s="1">
        <v>30</v>
      </c>
      <c r="I71" s="21">
        <f t="shared" si="32"/>
        <v>30</v>
      </c>
      <c r="J71" s="21">
        <v>30</v>
      </c>
    </row>
    <row r="72" hidden="1" spans="1:58">
      <c r="A72" s="1" t="s">
        <v>59</v>
      </c>
      <c r="B72" s="1">
        <v>52</v>
      </c>
      <c r="C72" s="23">
        <f t="shared" si="33"/>
        <v>0.153846153846154</v>
      </c>
      <c r="D72" s="1">
        <f t="shared" si="29"/>
        <v>8</v>
      </c>
      <c r="E72" s="23">
        <f>AVERAGE(F$69:F72)</f>
        <v>0</v>
      </c>
      <c r="F72" s="23">
        <f t="shared" si="30"/>
        <v>0</v>
      </c>
      <c r="G72" s="1">
        <f t="shared" si="31"/>
        <v>0</v>
      </c>
      <c r="H72" s="1">
        <v>52</v>
      </c>
      <c r="I72" s="21">
        <f t="shared" si="32"/>
        <v>52</v>
      </c>
      <c r="J72" s="21">
        <v>52</v>
      </c>
    </row>
    <row r="73" hidden="1" spans="1:58">
      <c r="A73" s="1" t="s">
        <v>60</v>
      </c>
      <c r="B73" s="1">
        <v>30</v>
      </c>
      <c r="C73" s="23">
        <f t="shared" si="33"/>
        <v>0.153846153846154</v>
      </c>
      <c r="D73" s="1">
        <f t="shared" si="29"/>
        <v>5</v>
      </c>
      <c r="E73" s="23">
        <f>AVERAGE(F$69:F73)</f>
        <v>0</v>
      </c>
      <c r="F73" s="23">
        <f t="shared" si="30"/>
        <v>0</v>
      </c>
      <c r="G73" s="1">
        <f t="shared" si="31"/>
        <v>0</v>
      </c>
      <c r="H73" s="1">
        <v>30</v>
      </c>
      <c r="I73" s="21">
        <f t="shared" si="32"/>
        <v>30</v>
      </c>
      <c r="J73" s="21">
        <v>30</v>
      </c>
    </row>
    <row r="74" hidden="1" spans="1:58">
      <c r="A74" s="1" t="s">
        <v>61</v>
      </c>
      <c r="B74" s="1">
        <v>18</v>
      </c>
      <c r="C74" s="23">
        <f t="shared" si="33"/>
        <v>0.153846153846154</v>
      </c>
      <c r="D74" s="1">
        <f t="shared" si="29"/>
        <v>3</v>
      </c>
      <c r="E74" s="23">
        <f>AVERAGE(F$69:F74)</f>
        <v>0</v>
      </c>
      <c r="F74" s="23">
        <f t="shared" si="30"/>
        <v>0</v>
      </c>
      <c r="G74" s="1">
        <f t="shared" si="31"/>
        <v>0</v>
      </c>
      <c r="H74" s="1">
        <v>18</v>
      </c>
      <c r="I74" s="21">
        <f t="shared" si="32"/>
        <v>18</v>
      </c>
      <c r="J74" s="21">
        <v>18</v>
      </c>
      <c r="BF74" s="21"/>
    </row>
    <row r="75" s="21" customFormat="1" hidden="1" spans="1:58">
      <c r="A75" s="21" t="s">
        <v>62</v>
      </c>
      <c r="B75" s="21">
        <v>16</v>
      </c>
      <c r="C75" s="24">
        <f t="shared" si="33"/>
        <v>0.153846153846154</v>
      </c>
      <c r="D75" s="21">
        <f t="shared" si="29"/>
        <v>2</v>
      </c>
      <c r="E75" s="24">
        <f>AVERAGE(F$69:F75)</f>
        <v>0.0178571428571429</v>
      </c>
      <c r="F75" s="24">
        <f t="shared" si="30"/>
        <v>0.125</v>
      </c>
      <c r="G75" s="21">
        <f t="shared" si="31"/>
        <v>2</v>
      </c>
      <c r="H75" s="21">
        <v>14</v>
      </c>
      <c r="I75" s="21">
        <f t="shared" si="32"/>
        <v>16</v>
      </c>
      <c r="J75" s="21">
        <v>16</v>
      </c>
    </row>
    <row r="76" hidden="1" spans="1:58">
      <c r="A76" s="1" t="s">
        <v>63</v>
      </c>
      <c r="B76" s="1">
        <v>23</v>
      </c>
      <c r="C76" s="23">
        <f t="shared" si="33"/>
        <v>0.153846153846154</v>
      </c>
      <c r="D76" s="1">
        <f t="shared" si="29"/>
        <v>4</v>
      </c>
      <c r="E76" s="23">
        <f>AVERAGE(F$69:F76)</f>
        <v>0.015625</v>
      </c>
      <c r="F76" s="23">
        <f t="shared" si="30"/>
        <v>0</v>
      </c>
      <c r="G76" s="1">
        <f t="shared" si="31"/>
        <v>0</v>
      </c>
      <c r="H76" s="1">
        <v>23</v>
      </c>
      <c r="I76" s="21">
        <f t="shared" si="32"/>
        <v>23</v>
      </c>
      <c r="J76" s="21">
        <v>23</v>
      </c>
    </row>
    <row r="77" hidden="1" spans="1:58">
      <c r="A77" s="1" t="s">
        <v>64</v>
      </c>
      <c r="B77" s="1">
        <v>19</v>
      </c>
      <c r="C77" s="23">
        <f t="shared" si="33"/>
        <v>0.153846153846154</v>
      </c>
      <c r="D77" s="1">
        <f t="shared" si="29"/>
        <v>3</v>
      </c>
      <c r="E77" s="23">
        <f>AVERAGE(F$69:F77)</f>
        <v>0.0138888888888889</v>
      </c>
      <c r="F77" s="23">
        <f t="shared" si="30"/>
        <v>0</v>
      </c>
      <c r="G77" s="1">
        <f t="shared" si="31"/>
        <v>0</v>
      </c>
      <c r="H77" s="1">
        <v>19</v>
      </c>
      <c r="I77" s="21">
        <f t="shared" si="32"/>
        <v>19</v>
      </c>
      <c r="J77" s="21">
        <v>19</v>
      </c>
    </row>
    <row r="78" hidden="1"/>
    <row r="79" hidden="1" spans="1:58">
      <c r="A79" s="1" t="s">
        <v>65</v>
      </c>
    </row>
    <row r="80" hidden="1" spans="1:58">
      <c r="A80" s="1" t="s">
        <v>7</v>
      </c>
      <c r="B80" s="1" t="s">
        <v>8</v>
      </c>
      <c r="C80" s="1" t="s">
        <v>9</v>
      </c>
      <c r="D80" s="1" t="s">
        <v>10</v>
      </c>
      <c r="E80" s="1" t="s">
        <v>11</v>
      </c>
      <c r="F80" s="1" t="s">
        <v>12</v>
      </c>
      <c r="G80" s="1" t="s">
        <v>13</v>
      </c>
      <c r="H80" s="1" t="s">
        <v>14</v>
      </c>
      <c r="I80" s="1" t="s">
        <v>15</v>
      </c>
      <c r="J80" s="1">
        <v>7</v>
      </c>
    </row>
    <row r="81" hidden="1" spans="1:73">
      <c r="A81" s="1" t="s">
        <v>66</v>
      </c>
      <c r="B81" s="1">
        <v>275</v>
      </c>
      <c r="C81" s="23">
        <f>4/26</f>
        <v>0.153846153846154</v>
      </c>
      <c r="D81" s="1">
        <f>ROUND(B81*C81,0)</f>
        <v>42</v>
      </c>
      <c r="E81" s="23">
        <f>AVERAGE(F$81:F81)</f>
        <v>0.0836363636363636</v>
      </c>
      <c r="F81" s="23">
        <f>G81/B81</f>
        <v>0.0836363636363636</v>
      </c>
      <c r="G81" s="1">
        <f>I81-H81</f>
        <v>23</v>
      </c>
      <c r="H81" s="1">
        <v>252</v>
      </c>
      <c r="I81" s="21">
        <f>MIN($J$80*D81,J81)</f>
        <v>275</v>
      </c>
      <c r="J81" s="21">
        <v>275</v>
      </c>
    </row>
    <row r="82" hidden="1" spans="1:73">
      <c r="A82" s="1" t="s">
        <v>67</v>
      </c>
      <c r="B82" s="1">
        <v>290</v>
      </c>
      <c r="C82" s="23">
        <f>C81</f>
        <v>0.153846153846154</v>
      </c>
      <c r="D82" s="1">
        <f>ROUND(B82*C82,0)</f>
        <v>45</v>
      </c>
      <c r="E82" s="23">
        <f>AVERAGE(F$81:F82)</f>
        <v>0.0763009404388715</v>
      </c>
      <c r="F82" s="23">
        <f>G82/B82</f>
        <v>0.0689655172413793</v>
      </c>
      <c r="G82" s="1">
        <f>I82-H82</f>
        <v>20</v>
      </c>
      <c r="H82" s="1">
        <v>270</v>
      </c>
      <c r="I82" s="21">
        <f>MIN($J$80*D82,J82)</f>
        <v>290</v>
      </c>
      <c r="J82" s="21">
        <v>290</v>
      </c>
    </row>
    <row r="84" spans="1:73">
      <c r="A84" s="1" t="s">
        <v>68</v>
      </c>
    </row>
    <row r="85" spans="1:73">
      <c r="A85" s="1" t="s">
        <v>7</v>
      </c>
      <c r="B85" s="1" t="s">
        <v>8</v>
      </c>
      <c r="C85" s="1" t="s">
        <v>9</v>
      </c>
      <c r="D85" s="1" t="s">
        <v>10</v>
      </c>
      <c r="E85" s="1" t="s">
        <v>11</v>
      </c>
      <c r="F85" s="1" t="s">
        <v>12</v>
      </c>
      <c r="G85" s="1" t="s">
        <v>13</v>
      </c>
      <c r="H85" s="1" t="s">
        <v>14</v>
      </c>
      <c r="I85" s="1" t="s">
        <v>15</v>
      </c>
      <c r="J85" s="1">
        <v>5</v>
      </c>
      <c r="BO85" s="1" t="s">
        <v>69</v>
      </c>
      <c r="BP85" s="1" t="s">
        <v>70</v>
      </c>
      <c r="BQ85" s="1" t="s">
        <v>71</v>
      </c>
      <c r="BT85" s="1" t="s">
        <v>72</v>
      </c>
    </row>
    <row r="86" spans="1:73">
      <c r="A86" s="1" t="s">
        <v>73</v>
      </c>
      <c r="B86" s="1">
        <v>49</v>
      </c>
      <c r="C86" s="23">
        <f>4/26</f>
        <v>0.153846153846154</v>
      </c>
      <c r="D86" s="1">
        <f>ROUND(B86*C86,0)</f>
        <v>8</v>
      </c>
      <c r="E86" s="23">
        <f>AVERAGE(F$86:F86)</f>
        <v>0.163265306122449</v>
      </c>
      <c r="F86" s="23">
        <f>G86/B86</f>
        <v>0.163265306122449</v>
      </c>
      <c r="G86" s="1">
        <f>I86-H86</f>
        <v>8</v>
      </c>
      <c r="H86" s="1">
        <v>32</v>
      </c>
      <c r="I86" s="21">
        <f>MIN($J$85*D86,J86)</f>
        <v>40</v>
      </c>
      <c r="J86" s="21">
        <f>BO86+BP86</f>
        <v>41</v>
      </c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>
        <v>9</v>
      </c>
      <c r="BP86" s="21">
        <v>32</v>
      </c>
      <c r="BQ86" s="1">
        <f t="shared" ref="BQ86:BQ93" si="34">D86-G86</f>
        <v>0</v>
      </c>
      <c r="BT86" s="1">
        <f t="shared" ref="BT86:BT93" si="35">B86-J86</f>
        <v>8</v>
      </c>
      <c r="BU86" s="28" t="s">
        <v>74</v>
      </c>
    </row>
    <row r="87" spans="1:73">
      <c r="A87" s="1" t="s">
        <v>75</v>
      </c>
      <c r="B87" s="1">
        <v>74</v>
      </c>
      <c r="C87" s="23">
        <f t="shared" ref="C87:C95" si="36">4/26</f>
        <v>0.153846153846154</v>
      </c>
      <c r="D87" s="1">
        <f t="shared" ref="D87:D95" si="37">ROUND(B87*C87,0)</f>
        <v>11</v>
      </c>
      <c r="E87" s="23">
        <f>AVERAGE(F$86:F87)</f>
        <v>0.0883894098179813</v>
      </c>
      <c r="F87" s="23">
        <f t="shared" ref="F87:F95" si="38">G87/B87</f>
        <v>0.0135135135135135</v>
      </c>
      <c r="G87" s="1">
        <f t="shared" ref="G87:G95" si="39">I87-H87</f>
        <v>1</v>
      </c>
      <c r="H87" s="1">
        <v>44</v>
      </c>
      <c r="I87" s="21">
        <f t="shared" ref="I87:I95" si="40">MIN($J$85*D87,J87)</f>
        <v>45</v>
      </c>
      <c r="J87" s="25">
        <f t="shared" ref="J87:J95" si="41">BO87+BP87</f>
        <v>45</v>
      </c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>
        <v>13</v>
      </c>
      <c r="BP87" s="25">
        <v>32</v>
      </c>
      <c r="BQ87" s="1">
        <f t="shared" si="34"/>
        <v>10</v>
      </c>
      <c r="BT87" s="1">
        <f t="shared" si="35"/>
        <v>29</v>
      </c>
      <c r="BU87" s="28" t="s">
        <v>76</v>
      </c>
    </row>
    <row r="88" spans="1:73">
      <c r="A88" s="1" t="s">
        <v>77</v>
      </c>
      <c r="B88" s="1">
        <v>49</v>
      </c>
      <c r="C88" s="23">
        <f t="shared" si="36"/>
        <v>0.153846153846154</v>
      </c>
      <c r="D88" s="1">
        <f t="shared" si="37"/>
        <v>8</v>
      </c>
      <c r="E88" s="23">
        <f>AVERAGE(F$86:F88)</f>
        <v>0.11334804191947</v>
      </c>
      <c r="F88" s="23">
        <f t="shared" si="38"/>
        <v>0.163265306122449</v>
      </c>
      <c r="G88" s="1">
        <f t="shared" si="39"/>
        <v>8</v>
      </c>
      <c r="H88" s="1">
        <v>32</v>
      </c>
      <c r="I88" s="21">
        <f t="shared" si="40"/>
        <v>40</v>
      </c>
      <c r="J88" s="21">
        <f t="shared" si="41"/>
        <v>41</v>
      </c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>
        <v>9</v>
      </c>
      <c r="BP88" s="21">
        <v>32</v>
      </c>
      <c r="BQ88" s="21">
        <f t="shared" si="34"/>
        <v>0</v>
      </c>
      <c r="BT88" s="1">
        <f t="shared" si="35"/>
        <v>8</v>
      </c>
      <c r="BU88" s="28" t="s">
        <v>78</v>
      </c>
    </row>
    <row r="89" spans="1:73">
      <c r="A89" s="1" t="s">
        <v>79</v>
      </c>
      <c r="B89" s="1">
        <v>12</v>
      </c>
      <c r="C89" s="23">
        <f t="shared" si="36"/>
        <v>0.153846153846154</v>
      </c>
      <c r="D89" s="1">
        <f t="shared" si="37"/>
        <v>2</v>
      </c>
      <c r="E89" s="23">
        <f>AVERAGE(F$86:F89)</f>
        <v>0.12667769810627</v>
      </c>
      <c r="F89" s="23">
        <f t="shared" si="38"/>
        <v>0.166666666666667</v>
      </c>
      <c r="G89" s="1">
        <f t="shared" si="39"/>
        <v>2</v>
      </c>
      <c r="H89" s="1">
        <v>8</v>
      </c>
      <c r="I89" s="21">
        <f t="shared" si="40"/>
        <v>10</v>
      </c>
      <c r="J89" s="21">
        <f t="shared" si="41"/>
        <v>11</v>
      </c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>
        <v>5</v>
      </c>
      <c r="BP89" s="21">
        <v>6</v>
      </c>
      <c r="BQ89" s="21">
        <f t="shared" si="34"/>
        <v>0</v>
      </c>
      <c r="BT89" s="1">
        <f t="shared" si="35"/>
        <v>1</v>
      </c>
      <c r="BU89" s="28" t="s">
        <v>80</v>
      </c>
    </row>
    <row r="90" spans="1:73">
      <c r="A90" s="1" t="s">
        <v>81</v>
      </c>
      <c r="B90" s="1">
        <v>92</v>
      </c>
      <c r="C90" s="23">
        <f t="shared" si="36"/>
        <v>0.153846153846154</v>
      </c>
      <c r="D90" s="1">
        <f t="shared" si="37"/>
        <v>14</v>
      </c>
      <c r="E90" s="23">
        <f>AVERAGE(F$86:F90)</f>
        <v>0.105689984571972</v>
      </c>
      <c r="F90" s="23">
        <f t="shared" si="38"/>
        <v>0.0217391304347826</v>
      </c>
      <c r="G90" s="1">
        <f t="shared" si="39"/>
        <v>2</v>
      </c>
      <c r="H90" s="1">
        <v>56</v>
      </c>
      <c r="I90" s="21">
        <f t="shared" si="40"/>
        <v>58</v>
      </c>
      <c r="J90" s="25">
        <f t="shared" si="41"/>
        <v>58</v>
      </c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>
        <v>20</v>
      </c>
      <c r="BP90" s="25">
        <v>38</v>
      </c>
      <c r="BQ90" s="1">
        <f t="shared" si="34"/>
        <v>12</v>
      </c>
      <c r="BT90" s="1">
        <f t="shared" si="35"/>
        <v>34</v>
      </c>
      <c r="BU90" s="28" t="s">
        <v>82</v>
      </c>
    </row>
    <row r="91" spans="1:73">
      <c r="A91" s="1" t="s">
        <v>83</v>
      </c>
      <c r="B91" s="1">
        <v>51</v>
      </c>
      <c r="C91" s="23">
        <f t="shared" si="36"/>
        <v>0.153846153846154</v>
      </c>
      <c r="D91" s="1">
        <f t="shared" si="37"/>
        <v>8</v>
      </c>
      <c r="E91" s="23">
        <f>AVERAGE(F$86:F91)</f>
        <v>0.114218777992983</v>
      </c>
      <c r="F91" s="23">
        <f t="shared" si="38"/>
        <v>0.156862745098039</v>
      </c>
      <c r="G91" s="1">
        <f t="shared" si="39"/>
        <v>8</v>
      </c>
      <c r="H91" s="1">
        <v>32</v>
      </c>
      <c r="I91" s="21">
        <f t="shared" si="40"/>
        <v>40</v>
      </c>
      <c r="J91" s="21">
        <f t="shared" si="41"/>
        <v>41</v>
      </c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>
        <v>14</v>
      </c>
      <c r="BP91" s="21">
        <v>27</v>
      </c>
      <c r="BQ91" s="1">
        <f t="shared" si="34"/>
        <v>0</v>
      </c>
      <c r="BT91" s="1">
        <f t="shared" si="35"/>
        <v>10</v>
      </c>
      <c r="BU91" s="28" t="s">
        <v>84</v>
      </c>
    </row>
    <row r="92" spans="1:73">
      <c r="A92" s="1" t="s">
        <v>85</v>
      </c>
      <c r="B92" s="1">
        <v>74</v>
      </c>
      <c r="C92" s="23">
        <f t="shared" si="36"/>
        <v>0.153846153846154</v>
      </c>
      <c r="D92" s="1">
        <f t="shared" si="37"/>
        <v>11</v>
      </c>
      <c r="E92" s="23">
        <f>AVERAGE(F$86:F92)</f>
        <v>0.0998323116387733</v>
      </c>
      <c r="F92" s="23">
        <f t="shared" si="38"/>
        <v>0.0135135135135135</v>
      </c>
      <c r="G92" s="1">
        <f t="shared" si="39"/>
        <v>1</v>
      </c>
      <c r="H92" s="1">
        <v>44</v>
      </c>
      <c r="I92" s="21">
        <f t="shared" si="40"/>
        <v>45</v>
      </c>
      <c r="J92" s="25">
        <f t="shared" si="41"/>
        <v>45</v>
      </c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>
        <v>10</v>
      </c>
      <c r="BP92" s="25">
        <v>35</v>
      </c>
      <c r="BQ92" s="1">
        <f t="shared" si="34"/>
        <v>10</v>
      </c>
      <c r="BT92" s="1">
        <f t="shared" si="35"/>
        <v>29</v>
      </c>
      <c r="BU92" s="28" t="s">
        <v>86</v>
      </c>
    </row>
    <row r="93" spans="1:73">
      <c r="A93" s="1" t="s">
        <v>87</v>
      </c>
      <c r="B93" s="1">
        <v>60</v>
      </c>
      <c r="C93" s="23">
        <f t="shared" si="36"/>
        <v>0.153846153846154</v>
      </c>
      <c r="D93" s="1">
        <f t="shared" si="37"/>
        <v>9</v>
      </c>
      <c r="E93" s="23">
        <f>AVERAGE(F$86:F93)</f>
        <v>0.106103272683927</v>
      </c>
      <c r="F93" s="23">
        <f t="shared" si="38"/>
        <v>0.15</v>
      </c>
      <c r="G93" s="1">
        <f t="shared" si="39"/>
        <v>9</v>
      </c>
      <c r="H93" s="1">
        <v>36</v>
      </c>
      <c r="I93" s="21">
        <f t="shared" si="40"/>
        <v>45</v>
      </c>
      <c r="J93" s="21">
        <f t="shared" si="41"/>
        <v>46</v>
      </c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>
        <v>10</v>
      </c>
      <c r="BP93" s="21">
        <v>36</v>
      </c>
      <c r="BQ93" s="29">
        <f t="shared" si="34"/>
        <v>0</v>
      </c>
      <c r="BT93" s="1">
        <f t="shared" si="35"/>
        <v>14</v>
      </c>
      <c r="BU93" s="28" t="s">
        <v>88</v>
      </c>
    </row>
    <row r="95" spans="1:73">
      <c r="A95" s="1" t="s">
        <v>89</v>
      </c>
    </row>
    <row r="96" spans="1:73">
      <c r="A96" s="1" t="s">
        <v>7</v>
      </c>
      <c r="B96" s="1" t="s">
        <v>8</v>
      </c>
      <c r="C96" s="1" t="s">
        <v>9</v>
      </c>
      <c r="D96" s="1" t="s">
        <v>10</v>
      </c>
      <c r="E96" s="1" t="s">
        <v>11</v>
      </c>
      <c r="F96" s="1" t="s">
        <v>12</v>
      </c>
      <c r="G96" s="1" t="s">
        <v>13</v>
      </c>
      <c r="H96" s="1" t="s">
        <v>14</v>
      </c>
      <c r="I96" s="1" t="s">
        <v>15</v>
      </c>
      <c r="J96" s="1">
        <v>1</v>
      </c>
    </row>
    <row r="97" spans="1:10">
      <c r="A97" s="1" t="s">
        <v>90</v>
      </c>
      <c r="B97" s="1">
        <v>372</v>
      </c>
      <c r="C97" s="23">
        <f t="shared" ref="C97:C100" si="42">4/26</f>
        <v>0.153846153846154</v>
      </c>
      <c r="D97" s="1">
        <f t="shared" ref="D97:D100" si="43">ROUND(B97*C97,0)</f>
        <v>57</v>
      </c>
      <c r="E97" s="23">
        <f>AVERAGE(F$97:F97)</f>
        <v>0</v>
      </c>
      <c r="F97" s="23">
        <f t="shared" ref="F97:F100" si="44">G97/B97</f>
        <v>0</v>
      </c>
      <c r="G97" s="1">
        <f t="shared" ref="G97:G100" si="45">I97-H97</f>
        <v>0</v>
      </c>
      <c r="H97" s="1">
        <v>0</v>
      </c>
      <c r="I97" s="21">
        <f t="shared" ref="I97:I100" si="46">MIN($J$96*D97,J97)</f>
        <v>0</v>
      </c>
      <c r="J97" s="21">
        <v>0</v>
      </c>
    </row>
    <row r="98" spans="1:10">
      <c r="A98" s="1" t="s">
        <v>91</v>
      </c>
      <c r="B98" s="1">
        <v>290</v>
      </c>
      <c r="C98" s="23">
        <f t="shared" si="42"/>
        <v>0.153846153846154</v>
      </c>
      <c r="D98" s="1">
        <f t="shared" si="43"/>
        <v>45</v>
      </c>
      <c r="E98" s="23">
        <f>AVERAGE(F$97:F98)</f>
        <v>0</v>
      </c>
      <c r="F98" s="23">
        <f t="shared" si="44"/>
        <v>0</v>
      </c>
      <c r="G98" s="1">
        <f t="shared" si="45"/>
        <v>0</v>
      </c>
      <c r="H98" s="1">
        <v>0</v>
      </c>
      <c r="I98" s="21">
        <f t="shared" si="46"/>
        <v>0</v>
      </c>
      <c r="J98" s="21">
        <v>0</v>
      </c>
    </row>
    <row r="99" spans="1:10">
      <c r="A99" s="1" t="s">
        <v>92</v>
      </c>
      <c r="B99" s="1">
        <v>226</v>
      </c>
      <c r="C99" s="23">
        <f t="shared" si="42"/>
        <v>0.153846153846154</v>
      </c>
      <c r="D99" s="1">
        <f t="shared" si="43"/>
        <v>35</v>
      </c>
      <c r="E99" s="23">
        <f>AVERAGE(F$97:F99)</f>
        <v>0</v>
      </c>
      <c r="F99" s="23">
        <f t="shared" si="44"/>
        <v>0</v>
      </c>
      <c r="G99" s="1">
        <f t="shared" si="45"/>
        <v>0</v>
      </c>
      <c r="H99" s="1">
        <v>0</v>
      </c>
      <c r="I99" s="21">
        <f t="shared" si="46"/>
        <v>0</v>
      </c>
      <c r="J99" s="21">
        <v>0</v>
      </c>
    </row>
    <row r="100" spans="1:10">
      <c r="A100" s="1" t="s">
        <v>93</v>
      </c>
      <c r="B100" s="1">
        <v>661</v>
      </c>
      <c r="C100" s="23">
        <f t="shared" si="42"/>
        <v>0.153846153846154</v>
      </c>
      <c r="D100" s="1">
        <f t="shared" si="43"/>
        <v>102</v>
      </c>
      <c r="E100" s="23">
        <f>AVERAGE(F$97:F100)</f>
        <v>0</v>
      </c>
      <c r="F100" s="23">
        <f t="shared" si="44"/>
        <v>0</v>
      </c>
      <c r="G100" s="1">
        <f t="shared" si="45"/>
        <v>0</v>
      </c>
      <c r="H100" s="1">
        <v>0</v>
      </c>
      <c r="I100" s="21">
        <f t="shared" si="46"/>
        <v>0</v>
      </c>
      <c r="J100" s="21">
        <v>0</v>
      </c>
    </row>
  </sheetData>
  <pageMargins left="0.7" right="0.7" top="0.75" bottom="0.75" header="0.3" footer="0.3"/>
  <pageSetup paperSize="9" orientation="portrait"/>
  <headerFooter/>
  <ignoredErrors>
    <ignoredError sqref="A1:BY1 A2:BO2 BY2 A3:BY4 A5:BP6 A7:BY79 A80:I80 K80:BY82 A81:G82 I81:I8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zoomScale="160" zoomScaleNormal="160" topLeftCell="A53" workbookViewId="0">
      <selection activeCell="B55" sqref="B55"/>
    </sheetView>
  </sheetViews>
  <sheetFormatPr defaultColWidth="10.7777777777778" defaultRowHeight="14.4"/>
  <cols>
    <col min="1" max="16384" width="10.7777777777778" style="1" customWidth="1"/>
  </cols>
  <sheetData>
    <row r="1" hidden="1" spans="1:5">
      <c r="A1" s="1" t="s">
        <v>7</v>
      </c>
      <c r="B1" s="1" t="s">
        <v>94</v>
      </c>
      <c r="D1" s="1" t="s">
        <v>95</v>
      </c>
      <c r="E1" s="1" t="s">
        <v>96</v>
      </c>
    </row>
    <row r="2" hidden="1" spans="1:5">
      <c r="A2" s="1" t="s">
        <v>19</v>
      </c>
      <c r="B2" s="1">
        <v>202</v>
      </c>
      <c r="D2" s="1" t="s">
        <v>97</v>
      </c>
      <c r="E2" s="1" t="s">
        <v>98</v>
      </c>
    </row>
    <row r="3" hidden="1" spans="1:5">
      <c r="A3" s="1" t="s">
        <v>20</v>
      </c>
      <c r="B3" s="1">
        <v>390</v>
      </c>
      <c r="D3" s="1" t="s">
        <v>99</v>
      </c>
      <c r="E3" s="1" t="s">
        <v>100</v>
      </c>
    </row>
    <row r="4" hidden="1" spans="1:5">
      <c r="A4" s="1" t="s">
        <v>21</v>
      </c>
      <c r="B4" s="1">
        <v>484</v>
      </c>
      <c r="D4" s="1" t="s">
        <v>101</v>
      </c>
      <c r="E4" s="1" t="s">
        <v>102</v>
      </c>
    </row>
    <row r="5" hidden="1" spans="1:5">
      <c r="A5" s="1" t="s">
        <v>22</v>
      </c>
      <c r="B5" s="1">
        <v>240</v>
      </c>
      <c r="D5" s="1" t="s">
        <v>103</v>
      </c>
      <c r="E5" s="1" t="s">
        <v>104</v>
      </c>
    </row>
    <row r="6" hidden="1" spans="1:5">
      <c r="A6" s="1" t="s">
        <v>23</v>
      </c>
      <c r="B6" s="1">
        <v>271</v>
      </c>
      <c r="D6" s="1" t="s">
        <v>105</v>
      </c>
      <c r="E6" s="1" t="s">
        <v>106</v>
      </c>
    </row>
    <row r="7" hidden="1" spans="1:5">
      <c r="A7" s="1" t="s">
        <v>24</v>
      </c>
      <c r="B7" s="1">
        <v>278</v>
      </c>
      <c r="D7" s="1" t="s">
        <v>107</v>
      </c>
      <c r="E7" s="1" t="s">
        <v>108</v>
      </c>
    </row>
    <row r="8" hidden="1" spans="1:5">
      <c r="D8" s="1" t="s">
        <v>109</v>
      </c>
      <c r="E8" s="1" t="s">
        <v>110</v>
      </c>
    </row>
    <row r="9" hidden="1" spans="1:5">
      <c r="A9" s="1" t="s">
        <v>26</v>
      </c>
      <c r="B9" s="1">
        <v>440</v>
      </c>
      <c r="D9" s="1" t="s">
        <v>111</v>
      </c>
      <c r="E9" s="1" t="s">
        <v>112</v>
      </c>
    </row>
    <row r="10" hidden="1" spans="1:5">
      <c r="A10" s="1" t="s">
        <v>27</v>
      </c>
      <c r="B10" s="1">
        <v>378</v>
      </c>
      <c r="D10" s="1" t="s">
        <v>113</v>
      </c>
      <c r="E10" s="1" t="s">
        <v>114</v>
      </c>
    </row>
    <row r="11" hidden="1" spans="1:5">
      <c r="A11" s="1" t="s">
        <v>28</v>
      </c>
      <c r="B11" s="1">
        <v>209</v>
      </c>
      <c r="D11" s="1" t="s">
        <v>115</v>
      </c>
      <c r="E11" s="1" t="s">
        <v>116</v>
      </c>
    </row>
    <row r="12" hidden="1" spans="1:5">
      <c r="A12" s="1" t="s">
        <v>29</v>
      </c>
      <c r="B12" s="1">
        <v>62</v>
      </c>
      <c r="D12" s="1" t="s">
        <v>117</v>
      </c>
      <c r="E12" s="1" t="s">
        <v>118</v>
      </c>
    </row>
    <row r="13" hidden="1" spans="1:5">
      <c r="A13" s="1" t="s">
        <v>30</v>
      </c>
      <c r="B13" s="1">
        <v>464</v>
      </c>
      <c r="D13" s="1" t="s">
        <v>119</v>
      </c>
      <c r="E13" s="1" t="s">
        <v>120</v>
      </c>
    </row>
    <row r="14" hidden="1" spans="1:5">
      <c r="D14" s="1" t="s">
        <v>121</v>
      </c>
      <c r="E14" s="1" t="s">
        <v>122</v>
      </c>
    </row>
    <row r="15" hidden="1" spans="1:5">
      <c r="A15" s="1" t="s">
        <v>32</v>
      </c>
      <c r="B15" s="1">
        <v>132</v>
      </c>
      <c r="D15" s="1" t="s">
        <v>123</v>
      </c>
      <c r="E15" s="1" t="s">
        <v>124</v>
      </c>
    </row>
    <row r="16" hidden="1" spans="1:5">
      <c r="A16" s="1" t="s">
        <v>33</v>
      </c>
      <c r="B16" s="1">
        <v>30</v>
      </c>
      <c r="D16" s="1" t="s">
        <v>125</v>
      </c>
    </row>
    <row r="17" hidden="1" spans="1:14">
      <c r="A17" s="1" t="s">
        <v>34</v>
      </c>
      <c r="B17" s="1">
        <v>395</v>
      </c>
      <c r="D17" s="1" t="s">
        <v>126</v>
      </c>
    </row>
    <row r="18" hidden="1" spans="1:14">
      <c r="A18" s="1" t="s">
        <v>127</v>
      </c>
      <c r="B18" s="1">
        <v>66</v>
      </c>
    </row>
    <row r="19" hidden="1" spans="1:14">
      <c r="C19" s="1" t="s">
        <v>128</v>
      </c>
      <c r="D19" s="1" t="s">
        <v>129</v>
      </c>
      <c r="E19" s="1" t="s">
        <v>130</v>
      </c>
      <c r="F19" s="1" t="s">
        <v>131</v>
      </c>
      <c r="G19" s="1" t="s">
        <v>95</v>
      </c>
      <c r="H19" s="1" t="s">
        <v>96</v>
      </c>
    </row>
    <row r="20" hidden="1" spans="1:14">
      <c r="A20" s="1" t="s">
        <v>40</v>
      </c>
      <c r="B20" s="1">
        <f>SUM(C20:H20)</f>
        <v>357</v>
      </c>
      <c r="C20" s="1">
        <v>212</v>
      </c>
      <c r="D20" s="1">
        <v>52</v>
      </c>
      <c r="E20" s="1">
        <v>63</v>
      </c>
      <c r="F20" s="2" t="s">
        <v>132</v>
      </c>
      <c r="G20" s="1">
        <v>16</v>
      </c>
      <c r="H20" s="1">
        <v>14</v>
      </c>
    </row>
    <row r="21" hidden="1"/>
    <row r="22" hidden="1" spans="1:14">
      <c r="A22" s="1" t="s">
        <v>41</v>
      </c>
      <c r="B22" s="1">
        <v>523</v>
      </c>
      <c r="G22" s="1" t="s">
        <v>133</v>
      </c>
      <c r="H22" s="1" t="s">
        <v>134</v>
      </c>
      <c r="I22" s="1" t="s">
        <v>135</v>
      </c>
      <c r="J22" s="1" t="s">
        <v>136</v>
      </c>
      <c r="K22" s="1" t="s">
        <v>137</v>
      </c>
      <c r="L22" s="1" t="s">
        <v>138</v>
      </c>
      <c r="M22" s="1" t="s">
        <v>139</v>
      </c>
      <c r="N22" s="1" t="s">
        <v>140</v>
      </c>
    </row>
    <row r="23" hidden="1" spans="1:14">
      <c r="A23" s="1" t="s">
        <v>42</v>
      </c>
      <c r="B23" s="1">
        <v>434</v>
      </c>
      <c r="C23" s="1" t="s">
        <v>141</v>
      </c>
      <c r="D23" s="1" t="s">
        <v>142</v>
      </c>
      <c r="F23" s="1" t="s">
        <v>143</v>
      </c>
      <c r="G23" s="3" t="s">
        <v>144</v>
      </c>
      <c r="H23" s="3" t="s">
        <v>145</v>
      </c>
      <c r="I23" s="3" t="s">
        <v>146</v>
      </c>
      <c r="J23" s="3" t="s">
        <v>147</v>
      </c>
      <c r="K23" s="3" t="s">
        <v>148</v>
      </c>
      <c r="L23" s="3" t="s">
        <v>149</v>
      </c>
      <c r="M23" s="3" t="s">
        <v>150</v>
      </c>
      <c r="N23" s="3" t="s">
        <v>151</v>
      </c>
    </row>
    <row r="24" hidden="1" spans="1:14">
      <c r="A24" s="1" t="s">
        <v>43</v>
      </c>
      <c r="B24" s="1">
        <f>C24+D24</f>
        <v>109</v>
      </c>
      <c r="C24" s="1">
        <v>26</v>
      </c>
      <c r="D24" s="1">
        <v>83</v>
      </c>
      <c r="F24" s="1" t="s">
        <v>152</v>
      </c>
      <c r="G24" s="3" t="s">
        <v>153</v>
      </c>
      <c r="H24" s="3" t="s">
        <v>154</v>
      </c>
      <c r="I24" s="3" t="s">
        <v>155</v>
      </c>
      <c r="J24" s="3" t="s">
        <v>156</v>
      </c>
      <c r="K24" s="3" t="s">
        <v>157</v>
      </c>
      <c r="L24" s="3" t="s">
        <v>158</v>
      </c>
      <c r="M24" s="3" t="s">
        <v>159</v>
      </c>
      <c r="N24" s="3" t="s">
        <v>160</v>
      </c>
    </row>
    <row r="25" hidden="1" spans="1:14">
      <c r="C25" s="1" t="s">
        <v>161</v>
      </c>
      <c r="D25" s="1" t="s">
        <v>162</v>
      </c>
      <c r="F25" s="1" t="s">
        <v>163</v>
      </c>
      <c r="G25" s="3" t="s">
        <v>164</v>
      </c>
      <c r="H25" s="3" t="s">
        <v>165</v>
      </c>
      <c r="I25" s="3" t="s">
        <v>166</v>
      </c>
      <c r="J25" s="3" t="s">
        <v>167</v>
      </c>
      <c r="K25" s="3" t="s">
        <v>168</v>
      </c>
      <c r="L25" s="3" t="s">
        <v>169</v>
      </c>
      <c r="M25" s="3" t="s">
        <v>170</v>
      </c>
      <c r="N25" s="3" t="s">
        <v>171</v>
      </c>
    </row>
    <row r="26" hidden="1" spans="1:14">
      <c r="A26" s="4" t="s">
        <v>37</v>
      </c>
      <c r="B26" s="1">
        <f>SUM(C26:D26)</f>
        <v>248</v>
      </c>
      <c r="C26" s="1">
        <v>100</v>
      </c>
      <c r="D26" s="1">
        <v>148</v>
      </c>
      <c r="F26" s="1" t="s">
        <v>172</v>
      </c>
      <c r="G26" s="3" t="s">
        <v>173</v>
      </c>
      <c r="H26" s="3" t="s">
        <v>174</v>
      </c>
      <c r="I26" s="3" t="s">
        <v>175</v>
      </c>
      <c r="J26" s="3" t="s">
        <v>176</v>
      </c>
      <c r="K26" s="3" t="s">
        <v>177</v>
      </c>
      <c r="L26" s="3" t="s">
        <v>178</v>
      </c>
      <c r="M26" s="3" t="s">
        <v>179</v>
      </c>
      <c r="N26" s="3" t="s">
        <v>180</v>
      </c>
    </row>
    <row r="27" hidden="1" spans="1:14">
      <c r="A27" s="4" t="s">
        <v>38</v>
      </c>
      <c r="B27" s="1">
        <v>40</v>
      </c>
      <c r="F27" s="1" t="s">
        <v>181</v>
      </c>
      <c r="G27" s="3" t="s">
        <v>182</v>
      </c>
      <c r="H27" s="3" t="s">
        <v>183</v>
      </c>
      <c r="I27" s="3" t="s">
        <v>149</v>
      </c>
      <c r="J27" s="3" t="s">
        <v>184</v>
      </c>
      <c r="K27" s="3" t="s">
        <v>185</v>
      </c>
      <c r="L27" s="3" t="s">
        <v>186</v>
      </c>
      <c r="M27" s="3" t="s">
        <v>187</v>
      </c>
      <c r="N27" s="3" t="s">
        <v>188</v>
      </c>
    </row>
    <row r="28" ht="15.15" hidden="1"/>
    <row r="29" ht="15.15" hidden="1" spans="1:14">
      <c r="A29" s="5" t="s">
        <v>44</v>
      </c>
      <c r="B29" s="6" t="s">
        <v>189</v>
      </c>
    </row>
    <row r="30" ht="15.15" hidden="1" spans="1:14">
      <c r="A30" s="7" t="s">
        <v>45</v>
      </c>
      <c r="B30" s="8">
        <f>C30+D30</f>
        <v>792</v>
      </c>
      <c r="C30" s="9">
        <v>414</v>
      </c>
      <c r="D30" s="10">
        <v>378</v>
      </c>
      <c r="E30" s="6"/>
      <c r="F30" s="5" t="s">
        <v>190</v>
      </c>
      <c r="G30" s="9" t="s">
        <v>191</v>
      </c>
      <c r="H30" s="11"/>
    </row>
    <row r="31" hidden="1" spans="1:14">
      <c r="A31" s="7" t="s">
        <v>46</v>
      </c>
      <c r="B31" s="8">
        <f>C31+(51-39)</f>
        <v>937</v>
      </c>
      <c r="C31" s="8">
        <v>925</v>
      </c>
      <c r="E31" s="8"/>
      <c r="F31" s="12" t="s">
        <v>46</v>
      </c>
      <c r="G31" s="5"/>
      <c r="H31" s="8"/>
    </row>
    <row r="32" ht="15.15" hidden="1" spans="1:14">
      <c r="A32" s="7" t="s">
        <v>47</v>
      </c>
      <c r="B32" s="8">
        <f>C32+(33-24)</f>
        <v>360</v>
      </c>
      <c r="C32" s="8">
        <v>351</v>
      </c>
      <c r="E32" s="8"/>
      <c r="F32" s="12" t="s">
        <v>47</v>
      </c>
      <c r="G32" s="13"/>
      <c r="H32" s="14"/>
    </row>
    <row r="33" ht="15.15" hidden="1" spans="1:8">
      <c r="A33" s="7" t="s">
        <v>48</v>
      </c>
      <c r="B33" s="8">
        <f>C33+(26-10)+D33+(95-83)+E33</f>
        <v>639</v>
      </c>
      <c r="C33" s="15">
        <v>329</v>
      </c>
      <c r="D33" s="16">
        <v>142</v>
      </c>
      <c r="E33" s="10">
        <v>140</v>
      </c>
      <c r="F33" s="12" t="s">
        <v>192</v>
      </c>
      <c r="G33" s="16" t="s">
        <v>193</v>
      </c>
      <c r="H33" s="10" t="s">
        <v>194</v>
      </c>
    </row>
    <row r="34" ht="15.15" hidden="1" spans="1:8">
      <c r="A34" s="17" t="s">
        <v>49</v>
      </c>
      <c r="B34" s="8">
        <f>C34+(32-4)</f>
        <v>738</v>
      </c>
      <c r="C34" s="8">
        <v>710</v>
      </c>
      <c r="E34" s="8"/>
      <c r="F34" s="12" t="s">
        <v>49</v>
      </c>
      <c r="G34" s="18"/>
      <c r="H34" s="8"/>
    </row>
    <row r="35" hidden="1" spans="1:8">
      <c r="A35" s="17" t="s">
        <v>50</v>
      </c>
      <c r="B35" s="8">
        <f>C35+D35</f>
        <v>648</v>
      </c>
      <c r="C35" s="15">
        <v>207</v>
      </c>
      <c r="D35" s="6">
        <v>441</v>
      </c>
      <c r="E35" s="8"/>
      <c r="F35" s="12" t="s">
        <v>195</v>
      </c>
      <c r="G35" s="6" t="s">
        <v>196</v>
      </c>
      <c r="H35" s="8"/>
    </row>
    <row r="36" ht="15.15" hidden="1" spans="1:8">
      <c r="A36" s="19" t="s">
        <v>51</v>
      </c>
      <c r="B36" s="14">
        <f>C36+D36</f>
        <v>252</v>
      </c>
      <c r="C36" s="20">
        <v>196</v>
      </c>
      <c r="D36" s="14">
        <v>56</v>
      </c>
      <c r="E36" s="14"/>
      <c r="F36" s="13" t="s">
        <v>197</v>
      </c>
      <c r="G36" s="14" t="s">
        <v>198</v>
      </c>
      <c r="H36" s="14"/>
    </row>
    <row r="37" hidden="1"/>
    <row r="38" hidden="1" spans="1:8">
      <c r="A38" s="15" t="s">
        <v>52</v>
      </c>
      <c r="B38" s="15" t="s">
        <v>189</v>
      </c>
      <c r="C38" s="15" t="s">
        <v>199</v>
      </c>
      <c r="D38" s="15" t="s">
        <v>200</v>
      </c>
      <c r="E38" s="1" t="s">
        <v>201</v>
      </c>
    </row>
    <row r="39" hidden="1" spans="1:8">
      <c r="A39" s="1" t="s">
        <v>53</v>
      </c>
      <c r="B39" s="1">
        <f>C39+D39+E39</f>
        <v>49</v>
      </c>
      <c r="C39" s="1">
        <v>18</v>
      </c>
      <c r="D39" s="1">
        <v>31</v>
      </c>
    </row>
    <row r="40" hidden="1" spans="1:8">
      <c r="A40" s="1" t="s">
        <v>54</v>
      </c>
      <c r="B40" s="1">
        <f>C40+D40+E40</f>
        <v>73</v>
      </c>
      <c r="C40" s="1">
        <v>17</v>
      </c>
      <c r="D40" s="1">
        <v>45</v>
      </c>
      <c r="E40" s="1">
        <v>11</v>
      </c>
    </row>
    <row r="41" hidden="1"/>
    <row r="42" hidden="1" spans="1:8">
      <c r="A42" s="15" t="s">
        <v>55</v>
      </c>
      <c r="B42" s="15" t="s">
        <v>189</v>
      </c>
      <c r="C42" s="15" t="s">
        <v>202</v>
      </c>
      <c r="D42" s="1" t="s">
        <v>203</v>
      </c>
      <c r="E42" s="1" t="s">
        <v>204</v>
      </c>
      <c r="F42" s="15" t="s">
        <v>205</v>
      </c>
    </row>
    <row r="43" hidden="1" spans="1:8">
      <c r="A43" s="1" t="s">
        <v>56</v>
      </c>
      <c r="B43" s="1">
        <f>C43-F43</f>
        <v>44</v>
      </c>
      <c r="C43" s="1">
        <v>65</v>
      </c>
      <c r="D43" s="1">
        <f>E43-F43</f>
        <v>44</v>
      </c>
      <c r="E43" s="1">
        <v>65</v>
      </c>
      <c r="F43" s="1">
        <v>21</v>
      </c>
    </row>
    <row r="44" hidden="1" spans="1:8">
      <c r="A44" s="1" t="s">
        <v>57</v>
      </c>
      <c r="B44" s="1">
        <f t="shared" ref="B43:B51" si="0">C44-F44</f>
        <v>40</v>
      </c>
      <c r="C44" s="1">
        <v>40</v>
      </c>
      <c r="D44" s="1">
        <f t="shared" ref="D43:D51" si="1">E44-F44</f>
        <v>40</v>
      </c>
      <c r="E44" s="1">
        <v>40</v>
      </c>
      <c r="F44" s="1">
        <v>0</v>
      </c>
    </row>
    <row r="45" hidden="1" spans="1:8">
      <c r="A45" s="1" t="s">
        <v>58</v>
      </c>
      <c r="B45" s="1">
        <f t="shared" si="0"/>
        <v>30</v>
      </c>
      <c r="C45" s="1">
        <v>160</v>
      </c>
      <c r="D45" s="1">
        <f t="shared" si="1"/>
        <v>30</v>
      </c>
      <c r="E45" s="1">
        <v>160</v>
      </c>
      <c r="F45" s="1">
        <v>130</v>
      </c>
    </row>
    <row r="46" hidden="1" spans="1:8">
      <c r="A46" s="1" t="s">
        <v>59</v>
      </c>
      <c r="B46" s="1">
        <f t="shared" si="0"/>
        <v>52</v>
      </c>
      <c r="C46" s="1">
        <v>105</v>
      </c>
      <c r="D46" s="1">
        <f t="shared" si="1"/>
        <v>52</v>
      </c>
      <c r="E46" s="1">
        <v>105</v>
      </c>
      <c r="F46" s="1">
        <v>53</v>
      </c>
    </row>
    <row r="47" hidden="1" spans="1:8">
      <c r="A47" s="1" t="s">
        <v>60</v>
      </c>
      <c r="B47" s="1">
        <f t="shared" si="0"/>
        <v>30</v>
      </c>
      <c r="C47" s="1">
        <v>34</v>
      </c>
      <c r="D47" s="1">
        <f t="shared" si="1"/>
        <v>30</v>
      </c>
      <c r="E47" s="1">
        <v>34</v>
      </c>
      <c r="F47" s="1">
        <v>4</v>
      </c>
    </row>
    <row r="48" hidden="1" spans="1:8">
      <c r="A48" s="1" t="s">
        <v>61</v>
      </c>
      <c r="B48" s="1">
        <f t="shared" si="0"/>
        <v>18</v>
      </c>
      <c r="C48" s="1">
        <v>24</v>
      </c>
      <c r="D48" s="1">
        <f t="shared" si="1"/>
        <v>18</v>
      </c>
      <c r="E48" s="1">
        <v>24</v>
      </c>
      <c r="F48" s="1">
        <v>6</v>
      </c>
    </row>
    <row r="49" hidden="1" spans="1:6">
      <c r="A49" s="1" t="s">
        <v>62</v>
      </c>
      <c r="B49" s="1">
        <f t="shared" si="0"/>
        <v>16</v>
      </c>
      <c r="C49" s="1">
        <v>31</v>
      </c>
      <c r="D49" s="1">
        <f t="shared" si="1"/>
        <v>16</v>
      </c>
      <c r="E49" s="1">
        <v>31</v>
      </c>
      <c r="F49" s="1">
        <v>15</v>
      </c>
    </row>
    <row r="50" hidden="1" spans="1:6">
      <c r="A50" s="1" t="s">
        <v>63</v>
      </c>
      <c r="B50" s="1">
        <f t="shared" si="0"/>
        <v>23</v>
      </c>
      <c r="C50" s="1">
        <v>35</v>
      </c>
      <c r="D50" s="1">
        <f t="shared" si="1"/>
        <v>23</v>
      </c>
      <c r="E50" s="1">
        <v>35</v>
      </c>
      <c r="F50" s="1">
        <v>12</v>
      </c>
    </row>
    <row r="51" hidden="1" spans="1:6">
      <c r="A51" s="1" t="s">
        <v>64</v>
      </c>
      <c r="B51" s="1">
        <f t="shared" si="0"/>
        <v>19</v>
      </c>
      <c r="C51" s="1">
        <v>24</v>
      </c>
      <c r="D51" s="1">
        <f t="shared" si="1"/>
        <v>19</v>
      </c>
      <c r="E51" s="1">
        <v>24</v>
      </c>
      <c r="F51" s="1">
        <v>5</v>
      </c>
    </row>
    <row r="52" hidden="1"/>
    <row r="53" spans="1:6">
      <c r="A53" s="1" t="s">
        <v>65</v>
      </c>
      <c r="B53" s="1" t="s">
        <v>206</v>
      </c>
      <c r="C53" s="1" t="s">
        <v>207</v>
      </c>
    </row>
    <row r="54" spans="1:6">
      <c r="A54" s="1" t="s">
        <v>66</v>
      </c>
      <c r="B54" s="1">
        <v>275</v>
      </c>
      <c r="C54" s="1">
        <f>B54-14</f>
        <v>261</v>
      </c>
    </row>
    <row r="55" spans="1:6">
      <c r="A55" s="1" t="s">
        <v>67</v>
      </c>
      <c r="B55" s="1">
        <v>290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进度</vt:lpstr>
      <vt:lpstr>书签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Scrooge</cp:lastModifiedBy>
  <dcterms:created xsi:type="dcterms:W3CDTF">2023-05-12T11:15:00Z</dcterms:created>
  <dcterms:modified xsi:type="dcterms:W3CDTF">2026-10-07T12:19:58Z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A68C8425929A4EE58BE4F651A31060FC_12</vt:lpwstr>
  </property>
  <property fmtid="{D5CDD505-2E9C-101B-9397-08002B2CF9AE}" pid="4" name="CalculationRule">
    <vt:i4>0</vt:i4>
  </property>
</Properties>
</file>